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6083" windowHeight="10745" tabRatio="727" activeTab="7"/>
  </bookViews>
  <sheets>
    <sheet name="Вводная" sheetId="8" r:id="rId1"/>
    <sheet name="ВПР" sheetId="22" r:id="rId2"/>
    <sheet name="ВПР интервальная" sheetId="23" r:id="rId3"/>
    <sheet name="ГПР" sheetId="24" r:id="rId4"/>
    <sheet name="Справка" sheetId="26" state="hidden" r:id="rId5"/>
    <sheet name="ЕСЛИ" sheetId="27" r:id="rId6"/>
    <sheet name="ВПР+ЕСЛИ" sheetId="30" r:id="rId7"/>
    <sheet name="Текстовые" sheetId="31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<sst xmlns="http://schemas.openxmlformats.org/spreadsheetml/2006/main" count="403" uniqueCount="279">
  <si>
    <t>Заказ</t>
  </si>
  <si>
    <t>Прайс-лист</t>
  </si>
  <si>
    <t>Артикул</t>
  </si>
  <si>
    <t>Количество</t>
  </si>
  <si>
    <t>Наименование</t>
  </si>
  <si>
    <t>Цена за шт.</t>
  </si>
  <si>
    <t>Сумма позиции</t>
  </si>
  <si>
    <t>H357</t>
  </si>
  <si>
    <t>N769</t>
  </si>
  <si>
    <t>Ноутбук ASUS K56CB-XX037,  4096Mb, 1000Gb, DVD-SMulti, GF GT740M 2048M, BT, WiFi, WEB-Cam1.3MP, noOS, 2.6kg, Black</t>
  </si>
  <si>
    <t>D922</t>
  </si>
  <si>
    <t>F320</t>
  </si>
  <si>
    <t>Ноутбук ASUS K56CB-XX038,  4096Mb, 1000Gb, DVD-SMulti, GF GT740M 2048M, BT, WiFi, WEB-Cam1.3MP, noOS, 2.3kg, Black</t>
  </si>
  <si>
    <t>B432</t>
  </si>
  <si>
    <t>Ноутбук ASUS PU500CA  15.6"HD, Intel Core i3 3217U, 4096Mb, 500Gb, No ODD, Intel HD4000, BT, WiFi, WEB-Cam, noOS, 1.9kg, Black</t>
  </si>
  <si>
    <t>G031</t>
  </si>
  <si>
    <t>J707</t>
  </si>
  <si>
    <t>Ноутбук ASUS X502CA-XX005D,  2048Mb, 320Gb, No ODD, Intel HD, BT, WiFi, WEB-Cam1.3MP, noOS, 2.07kg, Dark Blue</t>
  </si>
  <si>
    <t>K723</t>
  </si>
  <si>
    <t>Ноутбук ASUS X502CA-XX006D,  2048Mb, 320Gb, No ODD, Intel HD, BT, WiFi, WEB-Cam1.3MP, noOS, 2.07kg, White</t>
  </si>
  <si>
    <t>G486</t>
  </si>
  <si>
    <t>I588</t>
  </si>
  <si>
    <t>Ноутбук ASUS X502CA-XX048D,  4096Mb, 500Gb, No ODD, Intel HD, BT, WiFi, WEB-Cam1.3MP, noOS, 1.8kg, White</t>
  </si>
  <si>
    <t>C218</t>
  </si>
  <si>
    <t>K187</t>
  </si>
  <si>
    <t>Ноутбук ASUS X502CA-XX087D,  4096Mb, 500Gb, No ODD, Intel HD, BT, WiFi, WEB-Cam1.3MP, noOS, 1.8kg, Black</t>
  </si>
  <si>
    <t>D271</t>
  </si>
  <si>
    <t>E041</t>
  </si>
  <si>
    <t xml:space="preserve">Ноутбук ASUS X550CC-XX030D, 4GB DDR3 1600,500GB,DVD-SM,15.6"HD LED,GeForce GT720M 2GB,VGA,HDMI,GLAN,WiFi,BT,WC HD,USB3.0,USB2.0,CR3in1,4cell 3000mAH,DOS,2.3kg,Dark Gray </t>
  </si>
  <si>
    <t>L615</t>
  </si>
  <si>
    <t xml:space="preserve">Ноутбук ASUS X550CC-XX204D, 4GB DDR3 1600,750GB,DVD-SM,15.6"HD LED,GeForce GT720M 2GB,VGA,HDMI,GLAN,WiFi,BT,WC HD,USB3.0,USB2.0,CR3in1,4cell 3000mAH,DOS,2.3kg,White </t>
  </si>
  <si>
    <t>M399</t>
  </si>
  <si>
    <t xml:space="preserve">Ноутбук ASUS X550DP-XX001D, 4GB DDR3 1600,750GB,AMD HD8670M 2GB,DVD-SM,VGA,HDMI,GLAN,WiFi,BT,WC HD,USB3.0,USB2.0,CR2in1,4cell 3000mAh,DOS,2.26kg,Dark Gray </t>
  </si>
  <si>
    <t>Общая сумма заказа</t>
  </si>
  <si>
    <t>A733</t>
  </si>
  <si>
    <t xml:space="preserve">Ноутбук ASUS X550VB-XX019D, 4GB DDR3 1600,750GB,GeForce GT740M 2GB,DVD-SM,VGA,HDMI,GLAN,WiFi,BT,WC HD,USB3.0,USB2.0,CR3in1,4cell 3000mAH,DOS,2.3kg,Dark Gray </t>
  </si>
  <si>
    <t>Ноутбук ASUS X55A-SX208D,  2048Mb, 320Gb, DVD-SMulti, Intel HD, BT, WiFi, WEB-Cam, noOS, 2.6kg, Black</t>
  </si>
  <si>
    <t>O705</t>
  </si>
  <si>
    <t>Ноутбук ASUS X75A-TY164D,  4096Mb, 750Gb, DVD-SMulti, Intel HD, WiFi, BT, WEB-Cam, noOS, 3kg, Dark Blue</t>
  </si>
  <si>
    <t>P074</t>
  </si>
  <si>
    <t>Ноутбук ASUS X75VC-TY013D,  4096Mb, 500Gb, DVD-SMulti, GF GT720M 2048M, WiFi, BT, WEB-Cam, noOS, 3kg, Black</t>
  </si>
  <si>
    <t>Ноутбук ASUS X75VC-TY014D,  4096Mb, 500Gb, DVD-SMulti, GF GT720M 2048M, WiFi, BT, WEB-Cam, noOS, 3kg, White</t>
  </si>
  <si>
    <t>P797</t>
  </si>
  <si>
    <t>Ноутбук ASUS X75VC-TY021D,  4096Mb, 500Gb, DVD-SMulti, GF GT720M 2048M, WiFi, BT, WEB-Cam, noOS, 3kg, Black</t>
  </si>
  <si>
    <t>I376</t>
  </si>
  <si>
    <t xml:space="preserve">Ноутбук ASUS X75VD-TY202D, 4GB DDR3 1600,500GB,DVD-SM,17.3"HD+ LED,GeForce GT610M 1GB,VGA,HDMI,GLAN,WiFi b/g/n,BT4.0,WC HD,USB3.0,2xUSB2.0,CR3in1,6cell 4400mAH,DOS,3.0kg,Dark Blue </t>
  </si>
  <si>
    <t>B830</t>
  </si>
  <si>
    <t>Ноутбук HP 255, 4GB DDR3 1600,500GB,DVD-SM,15.6"HD AG,AMD HD7340M,VGA,HDMI,GLAN,WiFi b/g/n,BT,WC 2.0Mp,3xUSB2.0,CR2in1,6cell,Linux,2.45kg,Black</t>
  </si>
  <si>
    <t>D904</t>
  </si>
  <si>
    <t>Ноутбук HP 650, 4GB DDR3 1600,500GB,DVD-SM,15.6"HD AG,Intel HD 3000,VGA,HDMI,GLAN,WiFi b/g/n,BT,WC 2.0Mp,3xUSB2.0,CR2in1,6cell,Linux,2.45kg,Black</t>
  </si>
  <si>
    <t>F503</t>
  </si>
  <si>
    <t>Ноутбук HP 655, 2GB DDR3 1333,500GB,DVD-SM,15.6"HD AG,AMD HD7310M,VGA,HDMI,GLAN,WiFi b/g/n,BT,WC 2.0Mp,3xUSB2.0,CR2in1,6cell,Linux,2.45kg,Black</t>
  </si>
  <si>
    <t>B967</t>
  </si>
  <si>
    <t>Ноутбук HP 655, 2GB DDR3 1333,320GB,DVD-SM,15.6"HD AG,AMD HD7310M,VGA,HDMI,GLAN,WiFi b/g/n,BT,WC 2.0Mp,3xUSB2.0,CR2in1,6cell,Linux,2.45kg,Black</t>
  </si>
  <si>
    <t>J733</t>
  </si>
  <si>
    <t>Ноутбук HP ENVY 6-1058er, 6GB DDR3 1333,500GB,no ODD,15.6"HD LED,Intel HD 4000,VGA,HDMI,GLAN,WiFi b/g/n,BT,WC HD,2xUSB3.0,USB2.0,CR5in1,4cell,Win 7 HP 64bit,2.15kg,Black Aluminum</t>
  </si>
  <si>
    <t>G289</t>
  </si>
  <si>
    <t>Ноутбук HP Pavilion 15-b179sr  15.6"HD G, Intel Core i5 3317U, 8Gb, 750Gb, No ODD, GF GT630M 2048M, BT, WiFi, WEB-Cam, noOS, 2.1kg, Black</t>
  </si>
  <si>
    <t>B043</t>
  </si>
  <si>
    <t>Ноутбук HP Pavilion 15-e025sr, 4GB DDR3 1333,500GB,DVD±R/RW DL,15.6"HD LED,AMD HD8330 1GB,VGA,HDMI,LAN,WiFi b/g/n,BT,WC 0.3Mp,3xUSB2.0,CR3in1,6cell,DOS,2.55kg,Anno Silver+sparkling black</t>
  </si>
  <si>
    <t>L612</t>
  </si>
  <si>
    <t xml:space="preserve">Ноутбук HP Pavilion 15-e089sr  Intel Core i5-3230M, 4GB DDR3 1600,750GB,DVD-SM LS,15.6"HD BV LED,AMD HD8670 1GB,VGA,HDMI,LAN,WiFi b/g/n,BT4.0,WC HD,2xUSB3.0,USB2.0,CR5in1,6cell,DOS,2.48kg,Anno Silver+sparkling black </t>
  </si>
  <si>
    <t>B914</t>
  </si>
  <si>
    <t xml:space="preserve">Ноутбук HP Pavilion 17-e078sr, 4GB DDR3 1600,750GB,DVD-SM LS,17.3"HD+ BV LED,AMD HD8670 1GB,VGA,HDMI,LAN,WiFi b/g/n,BT4.0,WC HD,2xUSB3.0,USB2.0,CR5in1,6cell,DOS,2.98kg,Anno Silver+sparkling black </t>
  </si>
  <si>
    <t>K804</t>
  </si>
  <si>
    <t>Ноутбук HP ProBook 450, 4GB DDR3 1600,500GB,DVD-SM LS,15.6"HD LED AG,AMD HD8750 1Gb,VGA,HDMI,GLAN,WiFi b/g/n,BT4.0,WC HD,2xUSB3.0,2xUSB2.0,CR5in1,6cell,bag,Linux,2.3kg,Metallic Grey</t>
  </si>
  <si>
    <t>G681</t>
  </si>
  <si>
    <t>Ноутбук HP ProBook 4540s, 6GB DDR3 1333,750GB,DVD-SM LS,15.6"HD LED AG,AMD HD7650M 1GB,VGA,HDMI,GLAN,WiFi b/g/n,BT4.0,WC HD,2xUSB3.0,2xUSB2.0,CR5in1,6cell,Linux,2.47kg,Metallic Grey</t>
  </si>
  <si>
    <t>Ноутбук HP ProBook 4540s + сумка  15.6"HD, Pentium DC 2020M,  6Gb, 750Gb, DVD-SMulti, HD7650 2048M, WiFi, BT, WEB-Cam2MP, noOS, 2.4kg, + bag</t>
  </si>
  <si>
    <t>P887</t>
  </si>
  <si>
    <t>Ноутбук HP ProBook 4545s, 4GB DDR3 1333,750GB,DVD-SM LS,15.6"HD LED AG,AMD HD7650M 2GB,VGA,HDMI,GLAN,WiFi b/g/n,BT4.0,WC HD,2xUSB3.0,2xUSB2.0,CR5in1,6cell,bag,Linux,2.47kg,Metallic Grey</t>
  </si>
  <si>
    <t>L787</t>
  </si>
  <si>
    <t>Ноутбук HP ProBook 4740s, 6GB DDR3 1333,750GB,DVD-SM LS,17.3"HD+ LED AG,AMD HD7650M 2GB,VGA,HDMI,GLAN,WiFi b/g/n,BT4.0,WC HD,2xUSB3.0,2xUSB2.0,CR5in1,8cell,Linux,2.92kg,Metallic Grey</t>
  </si>
  <si>
    <t>C465</t>
  </si>
  <si>
    <t>Ноутбук HP ProBook 4740s + сумка  17.3"HD+ LED, Intel Core i3 3120M,  4096Mb, 500Gb, DVD-SMulti, HD7650 1024M, BT, WiFi, WEB-Cam2MP, noOS, 2.9kg, Silver, + bag</t>
  </si>
  <si>
    <t>Сумка для ноутбука 13.3" HQ-Tech  Black-Brown, нейлон, женская, Damask Nylon</t>
  </si>
  <si>
    <t>O721</t>
  </si>
  <si>
    <t>Сумка для ноутбука 14.0" KRUSELL Kalix netbook Shoulderbag  Sand, иск.кожа</t>
  </si>
  <si>
    <t>M708</t>
  </si>
  <si>
    <t xml:space="preserve">Сумка для ноутбука 15-16" X-Digital Laptop Mono 116BL  </t>
  </si>
  <si>
    <t>E653</t>
  </si>
  <si>
    <t>Сумка для ноутбука 15,6" Golla Kent  Black</t>
  </si>
  <si>
    <t>P465</t>
  </si>
  <si>
    <t>Сумка для ноутбука 15,6" LogicFox  Black, нейлон</t>
  </si>
  <si>
    <t>P436</t>
  </si>
  <si>
    <t>G340</t>
  </si>
  <si>
    <t>Сумка для ноутбука 15,6" LogicFox  Dark Grey, нейлон</t>
  </si>
  <si>
    <t>D926</t>
  </si>
  <si>
    <t>Сумка для ноутбука 15,6" LogicFox  Black, нейлон, черный, плечевой ремень</t>
  </si>
  <si>
    <t>M752</t>
  </si>
  <si>
    <t>Сумка для ноутбука 15.6" CASE LOGIC VNCI215  Black, полиэстер, 386x46x274мм</t>
  </si>
  <si>
    <t>L675</t>
  </si>
  <si>
    <t>Сумка для ноутбука 15.6" CRUMPLER Spanky Jones Espresso  Brown, Оригинальная ткань 1000D Chicken Tex Supreme</t>
  </si>
  <si>
    <t>B935</t>
  </si>
  <si>
    <t>Сумка для ноутбука 15.6" G-Cube Golden Sunset  Black-Golden</t>
  </si>
  <si>
    <t>D939</t>
  </si>
  <si>
    <t>Сумка для ноутбука 15.6" G-Cube Paint Splash  Grey-Golden</t>
  </si>
  <si>
    <t>Сумка для ноутбука 15.6" G-Cube Paint Splash  Handle-Violet</t>
  </si>
  <si>
    <t>A375</t>
  </si>
  <si>
    <t>Сумка для ноутбука 15.6" HQ-Tech  Black, Нейлон 1680D</t>
  </si>
  <si>
    <t>A197</t>
  </si>
  <si>
    <t xml:space="preserve">Сумка для ноутбука 15.6" HQ-Tech EE-15116H </t>
  </si>
  <si>
    <t>A055</t>
  </si>
  <si>
    <t xml:space="preserve">Сумка для ноутбука 15.6" HQ-Tech EE-15117H </t>
  </si>
  <si>
    <t>J956</t>
  </si>
  <si>
    <t xml:space="preserve">Сумка для ноутбука 15.6" HQ-Tech EE-15119H </t>
  </si>
  <si>
    <t>I086</t>
  </si>
  <si>
    <t xml:space="preserve">Сумка для ноутбука 15.6" HQ-Tech EE-15142S </t>
  </si>
  <si>
    <t>I621</t>
  </si>
  <si>
    <t xml:space="preserve">Сумка для ноутбука 15.6" HQ-Tech EE-15146H </t>
  </si>
  <si>
    <t>C361</t>
  </si>
  <si>
    <t xml:space="preserve">Сумка для ноутбука 15.6" HQ-Tech EE-1516H </t>
  </si>
  <si>
    <t>A333</t>
  </si>
  <si>
    <t xml:space="preserve">Сумка для ноутбука 15.6" HQ-Tech EE-15232S </t>
  </si>
  <si>
    <t>H391</t>
  </si>
  <si>
    <t xml:space="preserve">Сумка для ноутбука 15.6" HQ-Tech EE-1541H </t>
  </si>
  <si>
    <t xml:space="preserve">Сумка для ноутбука 15.6" HQ-Tech EE-15509S </t>
  </si>
  <si>
    <t>Студент</t>
  </si>
  <si>
    <t>Баллы</t>
  </si>
  <si>
    <t>Оценка</t>
  </si>
  <si>
    <t>Критерии оценок</t>
  </si>
  <si>
    <t>Ершова Валентина Олеговна</t>
  </si>
  <si>
    <t>Вишнякова Зоя Тихоновна</t>
  </si>
  <si>
    <t>Кудряшов Герман Валерьянович</t>
  </si>
  <si>
    <t>Дорофеев Кондрат Альбертович</t>
  </si>
  <si>
    <t>Ефимов Сергей Матвеевич</t>
  </si>
  <si>
    <t>Воробьёва Ольга Агафоновна</t>
  </si>
  <si>
    <t>Брагин Эдуард Викторович</t>
  </si>
  <si>
    <t>Никифорова Галина Лаврентьевна</t>
  </si>
  <si>
    <t>Елисеев Борис Мартынович</t>
  </si>
  <si>
    <t>Блинов Даниил Демьянович</t>
  </si>
  <si>
    <t>Белов Станислав Егорович</t>
  </si>
  <si>
    <t>Панфилов Ефим Михаилович</t>
  </si>
  <si>
    <t>Фролов Георгий Владимирович</t>
  </si>
  <si>
    <t>Елисеева Элеонора Агафоновна</t>
  </si>
  <si>
    <t>Пахомов Максим Андреевич</t>
  </si>
  <si>
    <t>Коновалов Роман Викторович</t>
  </si>
  <si>
    <t>Карпов Михаил Валерьевич</t>
  </si>
  <si>
    <t>Емельянов Олег Иванович</t>
  </si>
  <si>
    <t>Николаева Ираида Геннадьевна</t>
  </si>
  <si>
    <t>Мясников Владимир Иванович</t>
  </si>
  <si>
    <t>Название должности</t>
  </si>
  <si>
    <t>Директор</t>
  </si>
  <si>
    <t>Начальник отдела</t>
  </si>
  <si>
    <t>Менеджер</t>
  </si>
  <si>
    <t>Секретарь</t>
  </si>
  <si>
    <t>Стажер</t>
  </si>
  <si>
    <t>Водитель</t>
  </si>
  <si>
    <t>Охранник</t>
  </si>
  <si>
    <t>Оклад</t>
  </si>
  <si>
    <t>ФИО</t>
  </si>
  <si>
    <t>Должность</t>
  </si>
  <si>
    <t>Суворин Юрий Александрович</t>
  </si>
  <si>
    <t>Гориславский Ярослав Олегович</t>
  </si>
  <si>
    <t>Капшуков Глеб Фомич</t>
  </si>
  <si>
    <t>Севастьянов Егор Николаевич</t>
  </si>
  <si>
    <t>Ямалетдинов Иосиф Потапович</t>
  </si>
  <si>
    <t>Юрлов Леонид Гордеевич</t>
  </si>
  <si>
    <t>Смирнова Екатерина Емельяновна</t>
  </si>
  <si>
    <t>Рашет Ярослав Пахомович</t>
  </si>
  <si>
    <t>Таланова Екатерина Давидовна</t>
  </si>
  <si>
    <t>Сулимов Алексей Платонович</t>
  </si>
  <si>
    <t>Смотрова Екатерина Геннадиевна</t>
  </si>
  <si>
    <t>Чуканова Татьяна Петровна</t>
  </si>
  <si>
    <t>Сонина Валентина Андрияновна</t>
  </si>
  <si>
    <t>Шлыкова Эмилия Владиленовна</t>
  </si>
  <si>
    <t>Гольдин Артур Серафимович</t>
  </si>
  <si>
    <t>Зарплата</t>
  </si>
  <si>
    <t>Премия</t>
  </si>
  <si>
    <t>Номер филиала</t>
  </si>
  <si>
    <t>Оклад филиал 1</t>
  </si>
  <si>
    <t>Оклад филиал 2</t>
  </si>
  <si>
    <t>Кузьмина Полина Василиевна</t>
  </si>
  <si>
    <t>Снаткин Михаил Андреевич</t>
  </si>
  <si>
    <t>Сабитова Александра Федоровна</t>
  </si>
  <si>
    <t>Кулигина Оксана  Семеновна</t>
  </si>
  <si>
    <t>Захарьин Константин Епифанович</t>
  </si>
  <si>
    <t>Янчурова Марина Якововна</t>
  </si>
  <si>
    <t>Козланюк Юрий Игоревич</t>
  </si>
  <si>
    <t>Лебединский Леонид Алексеевич</t>
  </si>
  <si>
    <t>Яндукина Ксения Петровна</t>
  </si>
  <si>
    <t>Осинцев Павел Матвеевич</t>
  </si>
  <si>
    <t>Яцышин Валерий Богданович</t>
  </si>
  <si>
    <t>Без лишних пробелов</t>
  </si>
  <si>
    <t>Фамилия</t>
  </si>
  <si>
    <t>Имя</t>
  </si>
  <si>
    <t>Отчество</t>
  </si>
  <si>
    <t>В формате ФАМИЛИЯ имя</t>
  </si>
  <si>
    <t>Первая буква имени</t>
  </si>
  <si>
    <t>Первая буква отчества</t>
  </si>
  <si>
    <t>В формате Фамилия И.О.</t>
  </si>
  <si>
    <t xml:space="preserve">  Ершова      Валентина   Олеговна     </t>
  </si>
  <si>
    <t>Ершова</t>
  </si>
  <si>
    <t>Валентина</t>
  </si>
  <si>
    <t>Олеговна</t>
  </si>
  <si>
    <t>ЕРШОВА валентина</t>
  </si>
  <si>
    <t>В</t>
  </si>
  <si>
    <t>О</t>
  </si>
  <si>
    <t>Ершова В.О.</t>
  </si>
  <si>
    <t xml:space="preserve">    Вишнякова  Зоя    Тихоновна  </t>
  </si>
  <si>
    <t>Вишнякова</t>
  </si>
  <si>
    <t>Зоя</t>
  </si>
  <si>
    <t>Тихоновна</t>
  </si>
  <si>
    <t>ВИШНЯКОВА зоя</t>
  </si>
  <si>
    <t>З</t>
  </si>
  <si>
    <t>Т</t>
  </si>
  <si>
    <t>Вишнякова З.Т.</t>
  </si>
  <si>
    <t xml:space="preserve">     Кудряшов  Герман      Валерьянович   </t>
  </si>
  <si>
    <t>Кудряшов</t>
  </si>
  <si>
    <t>Герман</t>
  </si>
  <si>
    <t>Валерьянович</t>
  </si>
  <si>
    <t>КУДРЯШОВ герман</t>
  </si>
  <si>
    <t>Г</t>
  </si>
  <si>
    <t>Кудряшов Г.В.</t>
  </si>
  <si>
    <t xml:space="preserve">    Дорофеев     Кондрат    Альбертович    </t>
  </si>
  <si>
    <t>Дорофеев</t>
  </si>
  <si>
    <t>Кондрат</t>
  </si>
  <si>
    <t>Альбертович</t>
  </si>
  <si>
    <t xml:space="preserve">  Ефимов   Сергей Матвеевич     </t>
  </si>
  <si>
    <t>Ефимов</t>
  </si>
  <si>
    <t>Сергей</t>
  </si>
  <si>
    <t>Матвеевич</t>
  </si>
  <si>
    <t xml:space="preserve">     Воробьёва  Ольга    Агафоновна     </t>
  </si>
  <si>
    <t>Воробьёва</t>
  </si>
  <si>
    <t>Ольга</t>
  </si>
  <si>
    <t>Агафоновна</t>
  </si>
  <si>
    <t xml:space="preserve">   Брагин   Эдуард     Викторович   </t>
  </si>
  <si>
    <t>Брагин</t>
  </si>
  <si>
    <t>Эдуард</t>
  </si>
  <si>
    <t>Викторович</t>
  </si>
  <si>
    <t xml:space="preserve">     Никифорова   Галина      Лаврентьевна</t>
  </si>
  <si>
    <t>Никифорова</t>
  </si>
  <si>
    <t>Галина</t>
  </si>
  <si>
    <t>Лаврентьевна</t>
  </si>
  <si>
    <t xml:space="preserve"> Елисеев   Борис      Мартынович </t>
  </si>
  <si>
    <t>Елисеев</t>
  </si>
  <si>
    <t>Борис</t>
  </si>
  <si>
    <t>Мартынович</t>
  </si>
  <si>
    <t xml:space="preserve"> Блинов      Даниил Демьянович    </t>
  </si>
  <si>
    <t>Блинов</t>
  </si>
  <si>
    <t>Даниил</t>
  </si>
  <si>
    <t>Демьянович</t>
  </si>
  <si>
    <t xml:space="preserve">  Белов      Станислав Егорович    </t>
  </si>
  <si>
    <t>Белов</t>
  </si>
  <si>
    <t>Станислав</t>
  </si>
  <si>
    <t>Егорович</t>
  </si>
  <si>
    <t xml:space="preserve">     Панфилов    Ефим   Михаилович </t>
  </si>
  <si>
    <t>Панфилов</t>
  </si>
  <si>
    <t>Ефим</t>
  </si>
  <si>
    <t>Михаилович</t>
  </si>
  <si>
    <t xml:space="preserve">  Фролов  Георгий    Владимирович</t>
  </si>
  <si>
    <t>Фролов</t>
  </si>
  <si>
    <t>Георгий</t>
  </si>
  <si>
    <t>Владимирович</t>
  </si>
  <si>
    <t xml:space="preserve"> Елисеева      Элеонора      Агафоновна  </t>
  </si>
  <si>
    <t>Елисеева</t>
  </si>
  <si>
    <t>Элеонора</t>
  </si>
  <si>
    <t xml:space="preserve">    Пахомов  Максим     Андреевич  </t>
  </si>
  <si>
    <t>Пахомов</t>
  </si>
  <si>
    <t>Максим</t>
  </si>
  <si>
    <t>Андреевич</t>
  </si>
  <si>
    <t xml:space="preserve">  Коновалов  Роман  Викторович   </t>
  </si>
  <si>
    <t>Коновалов</t>
  </si>
  <si>
    <t>Роман</t>
  </si>
  <si>
    <t xml:space="preserve">  Карпов Михаил    Валерьевич  </t>
  </si>
  <si>
    <t>Карпов</t>
  </si>
  <si>
    <t>Михаил</t>
  </si>
  <si>
    <t>Валерьевич</t>
  </si>
  <si>
    <t xml:space="preserve">  Емельянов      Олег   Иванович     </t>
  </si>
  <si>
    <t>Емельянов</t>
  </si>
  <si>
    <t>Олег</t>
  </si>
  <si>
    <t>Иванович</t>
  </si>
  <si>
    <t xml:space="preserve">       Николаева  Ираида      Геннадьевна </t>
  </si>
  <si>
    <t>Николаева</t>
  </si>
  <si>
    <t>Ираида</t>
  </si>
  <si>
    <t>Геннадьевна</t>
  </si>
  <si>
    <t xml:space="preserve">   Мясников  Владимир    Иванович     </t>
  </si>
  <si>
    <t>Мясников</t>
  </si>
  <si>
    <t>Владимир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</si>
</sst>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3" formatCode="_-* #,##0.00_-;\-* #,##0.00_-;_-* &quot;-&quot;??_-;_-@_-"/>
    <numFmt numFmtId="176" formatCode="_-* #,##0.00\ &quot;₽&quot;_-;\-* #,##0.00\ &quot;₽&quot;_-;_-* &quot;-&quot;??\ &quot;₽&quot;_-;_-@_-"/>
    <numFmt numFmtId="177" formatCode="_-* #,##0\ &quot;₽&quot;_-;\-* #,##0\ &quot;₽&quot;_-;_-* &quot;-&quot;\ &quot;₽&quot;_-;_-@_-"/>
    <numFmt numFmtId="178" formatCode="#,##0.00&quot;р.&quot;"/>
  </numFmts>
  <fonts count="27">
    <font>
      <sz val="11"/>
      <color theme="1"/>
      <name val="Calibri"/>
      <charset val="204"/>
      <scheme val="minor"/>
    </font>
    <font>
      <b/>
      <sz val="11"/>
      <color theme="1"/>
      <name val="Calibri"/>
      <charset val="204"/>
      <scheme val="minor"/>
    </font>
    <font>
      <sz val="9"/>
      <color theme="1"/>
      <name val="Calibri"/>
      <charset val="204"/>
      <scheme val="minor"/>
    </font>
    <font>
      <b/>
      <sz val="16"/>
      <color theme="1"/>
      <name val="Calibri"/>
      <charset val="204"/>
      <scheme val="minor"/>
    </font>
    <font>
      <b/>
      <sz val="12"/>
      <color theme="1"/>
      <name val="Calibri"/>
      <charset val="20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204"/>
    </font>
    <font>
      <sz val="11"/>
      <color theme="1"/>
      <name val="Calibri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theme="3" tint="0.399975585192419"/>
      </left>
      <right style="thin">
        <color theme="3" tint="0.399975585192419"/>
      </right>
      <top style="thin">
        <color theme="3" tint="0.399975585192419"/>
      </top>
      <bottom style="thin">
        <color theme="3" tint="0.399975585192419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theme="7" tint="-0.249977111117893"/>
      </left>
      <right style="thin">
        <color theme="7" tint="-0.249977111117893"/>
      </right>
      <top style="thin">
        <color theme="7" tint="-0.249977111117893"/>
      </top>
      <bottom style="thin">
        <color theme="7" tint="-0.249977111117893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theme="5" tint="-0.249977111117893"/>
      </top>
      <bottom style="thin">
        <color theme="5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8" borderId="9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9" borderId="12" applyNumberFormat="0" applyAlignment="0" applyProtection="0">
      <alignment vertical="center"/>
    </xf>
    <xf numFmtId="0" fontId="15" fillId="10" borderId="13" applyNumberFormat="0" applyAlignment="0" applyProtection="0">
      <alignment vertical="center"/>
    </xf>
    <xf numFmtId="0" fontId="16" fillId="10" borderId="12" applyNumberFormat="0" applyAlignment="0" applyProtection="0">
      <alignment vertical="center"/>
    </xf>
    <xf numFmtId="0" fontId="17" fillId="11" borderId="14" applyNumberFormat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5" fillId="0" borderId="0"/>
    <xf numFmtId="0" fontId="26" fillId="0" borderId="0"/>
    <xf numFmtId="9" fontId="26" fillId="0" borderId="0" applyFont="0" applyFill="0" applyBorder="0" applyAlignment="0" applyProtection="0"/>
  </cellStyleXfs>
  <cellXfs count="46">
    <xf numFmtId="0" fontId="0" fillId="0" borderId="0" xfId="0"/>
    <xf numFmtId="0" fontId="1" fillId="2" borderId="1" xfId="0" applyFont="1" applyFill="1" applyBorder="1" applyAlignment="1">
      <alignment horizontal="left"/>
    </xf>
    <xf numFmtId="0" fontId="0" fillId="3" borderId="1" xfId="0" applyFill="1" applyBorder="1"/>
    <xf numFmtId="0" fontId="0" fillId="0" borderId="1" xfId="0" applyFill="1" applyBorder="1"/>
    <xf numFmtId="49" fontId="0" fillId="0" borderId="1" xfId="0" applyNumberFormat="1" applyBorder="1"/>
    <xf numFmtId="0" fontId="0" fillId="0" borderId="1" xfId="0" applyBorder="1"/>
    <xf numFmtId="178" fontId="0" fillId="0" borderId="0" xfId="0" applyNumberFormat="1"/>
    <xf numFmtId="0" fontId="1" fillId="2" borderId="2" xfId="0" applyFont="1" applyFill="1" applyBorder="1" applyAlignment="1">
      <alignment horizontal="left"/>
    </xf>
    <xf numFmtId="178" fontId="1" fillId="2" borderId="2" xfId="0" applyNumberFormat="1" applyFont="1" applyFill="1" applyBorder="1" applyAlignment="1">
      <alignment horizontal="left"/>
    </xf>
    <xf numFmtId="0" fontId="1" fillId="4" borderId="3" xfId="0" applyFont="1" applyFill="1" applyBorder="1" applyAlignment="1">
      <alignment horizontal="center"/>
    </xf>
    <xf numFmtId="178" fontId="1" fillId="4" borderId="3" xfId="0" applyNumberFormat="1" applyFont="1" applyFill="1" applyBorder="1" applyAlignment="1">
      <alignment horizontal="center"/>
    </xf>
    <xf numFmtId="178" fontId="0" fillId="0" borderId="1" xfId="0" applyNumberFormat="1" applyFill="1" applyBorder="1" applyAlignment="1">
      <alignment wrapText="1"/>
    </xf>
    <xf numFmtId="0" fontId="0" fillId="0" borderId="3" xfId="0" applyBorder="1"/>
    <xf numFmtId="178" fontId="0" fillId="0" borderId="3" xfId="0" applyNumberFormat="1" applyBorder="1"/>
    <xf numFmtId="0" fontId="0" fillId="0" borderId="0" xfId="0" applyAlignment="1">
      <alignment horizontal="center" vertical="center"/>
    </xf>
    <xf numFmtId="0" fontId="0" fillId="0" borderId="0" xfId="0" applyFill="1"/>
    <xf numFmtId="0" fontId="1" fillId="2" borderId="4" xfId="0" applyFont="1" applyFill="1" applyBorder="1" applyAlignment="1">
      <alignment horizontal="center" vertical="center"/>
    </xf>
    <xf numFmtId="178" fontId="1" fillId="2" borderId="5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4" xfId="0" applyFill="1" applyBorder="1"/>
    <xf numFmtId="178" fontId="0" fillId="0" borderId="5" xfId="0" applyNumberFormat="1" applyFill="1" applyBorder="1"/>
    <xf numFmtId="0" fontId="1" fillId="2" borderId="1" xfId="0" applyFont="1" applyFill="1" applyBorder="1" applyAlignment="1">
      <alignment horizontal="center"/>
    </xf>
    <xf numFmtId="178" fontId="1" fillId="2" borderId="1" xfId="0" applyNumberFormat="1" applyFont="1" applyFill="1" applyBorder="1" applyAlignment="1">
      <alignment horizontal="center"/>
    </xf>
    <xf numFmtId="178" fontId="0" fillId="0" borderId="1" xfId="0" applyNumberFormat="1" applyBorder="1"/>
    <xf numFmtId="0" fontId="1" fillId="2" borderId="4" xfId="0" applyFont="1" applyFill="1" applyBorder="1" applyAlignment="1">
      <alignment horizontal="left"/>
    </xf>
    <xf numFmtId="0" fontId="0" fillId="0" borderId="0" xfId="0" applyNumberFormat="1"/>
    <xf numFmtId="0" fontId="2" fillId="0" borderId="0" xfId="0" applyFont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/>
    </xf>
    <xf numFmtId="0" fontId="1" fillId="0" borderId="4" xfId="0" applyNumberFormat="1" applyFont="1" applyFill="1" applyBorder="1" applyAlignment="1">
      <alignment horizontal="center"/>
    </xf>
    <xf numFmtId="178" fontId="1" fillId="0" borderId="4" xfId="0" applyNumberFormat="1" applyFont="1" applyFill="1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178" fontId="4" fillId="0" borderId="6" xfId="0" applyNumberFormat="1" applyFont="1" applyBorder="1" applyAlignment="1">
      <alignment horizontal="center" vertical="center"/>
    </xf>
    <xf numFmtId="0" fontId="0" fillId="0" borderId="4" xfId="0" applyFont="1" applyBorder="1"/>
    <xf numFmtId="0" fontId="0" fillId="0" borderId="4" xfId="0" applyNumberFormat="1" applyFont="1" applyBorder="1"/>
    <xf numFmtId="0" fontId="2" fillId="0" borderId="4" xfId="0" applyFont="1" applyBorder="1" applyAlignment="1">
      <alignment wrapText="1"/>
    </xf>
    <xf numFmtId="178" fontId="0" fillId="0" borderId="4" xfId="0" applyNumberFormat="1" applyFont="1" applyBorder="1"/>
    <xf numFmtId="0" fontId="0" fillId="0" borderId="6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178" fontId="0" fillId="0" borderId="6" xfId="0" applyNumberFormat="1" applyBorder="1" applyAlignment="1">
      <alignment horizontal="center" vertical="center"/>
    </xf>
    <xf numFmtId="0" fontId="4" fillId="0" borderId="7" xfId="0" applyFont="1" applyFill="1" applyBorder="1" applyAlignment="1">
      <alignment horizontal="right" vertical="center"/>
    </xf>
    <xf numFmtId="0" fontId="4" fillId="0" borderId="8" xfId="0" applyFont="1" applyFill="1" applyBorder="1" applyAlignment="1">
      <alignment horizontal="right" vertical="center"/>
    </xf>
    <xf numFmtId="178" fontId="4" fillId="7" borderId="0" xfId="0" applyNumberFormat="1" applyFont="1" applyFill="1" applyAlignment="1">
      <alignment horizontal="center" vertical="center"/>
    </xf>
  </cellXfs>
  <cellStyles count="52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  <cellStyle name="Normal 4" xfId="49"/>
    <cellStyle name="Обычный 2" xfId="50"/>
    <cellStyle name="Процентный 2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https://go.skillbox.ru/course/Excel-bazovyy/ba8ad141-4da6-47f4-8575-9bd8d7d51432" TargetMode="Externa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238125</xdr:colOff>
      <xdr:row>3</xdr:row>
      <xdr:rowOff>19050</xdr:rowOff>
    </xdr:from>
    <xdr:ext cx="5200650" cy="3037205"/>
    <xdr:sp>
      <xdr:nvSpPr>
        <xdr:cNvPr id="2" name="TextBox 1"/>
        <xdr:cNvSpPr txBox="1"/>
      </xdr:nvSpPr>
      <xdr:spPr>
        <a:xfrm>
          <a:off x="2729865" y="561975"/>
          <a:ext cx="5200650" cy="3037205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ru-RU" sz="1100"/>
        </a:p>
        <a:p>
          <a:endParaRPr lang="ru-RU" sz="1100"/>
        </a:p>
        <a:p>
          <a:endParaRPr lang="ru-RU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6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Excel</a:t>
          </a:r>
          <a:r>
            <a:rPr lang="ru-RU" sz="16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Базовый</a:t>
          </a:r>
          <a:endParaRPr lang="ru-RU" sz="16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Модуль 4.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Формулы и функции </a:t>
          </a:r>
          <a:r>
            <a:rPr lang="en-US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Excel.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Продолжаем работать с формулами</a:t>
          </a:r>
          <a:endParaRPr lang="ru-RU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Домашнее задание.</a:t>
          </a:r>
          <a:endParaRPr lang="ru-RU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ru-RU" sz="1100"/>
        </a:p>
        <a:p>
          <a:r>
            <a:rPr lang="ru-RU" sz="1100"/>
            <a:t>Выполняйте последовательно по листам: </a:t>
          </a:r>
          <a:endParaRPr lang="ru-RU" sz="1100"/>
        </a:p>
        <a:p>
          <a:pPr marL="171450" indent="-171450">
            <a:buFont typeface="Arial" panose="020B0604020202020204" pitchFamily="7" charset="0"/>
            <a:buChar char="•"/>
          </a:pPr>
          <a:r>
            <a:rPr lang="ru-RU" sz="1100"/>
            <a:t>ВПР</a:t>
          </a:r>
          <a:endParaRPr lang="ru-RU" sz="1100"/>
        </a:p>
        <a:p>
          <a:pPr marL="171450" indent="-171450">
            <a:buFont typeface="Arial" panose="020B0604020202020204" pitchFamily="7" charset="0"/>
            <a:buChar char="•"/>
          </a:pPr>
          <a:r>
            <a:rPr lang="ru-RU" sz="1100" baseline="0"/>
            <a:t>ВПР интервальная</a:t>
          </a:r>
          <a:endParaRPr lang="ru-RU" sz="1100" baseline="0"/>
        </a:p>
        <a:p>
          <a:pPr marL="171450" indent="-171450">
            <a:buFont typeface="Arial" panose="020B0604020202020204" pitchFamily="7" charset="0"/>
            <a:buChar char="•"/>
          </a:pPr>
          <a:r>
            <a:rPr lang="ru-RU" sz="1100" baseline="0"/>
            <a:t>ГПР</a:t>
          </a:r>
          <a:endParaRPr lang="ru-RU" sz="1100" baseline="0"/>
        </a:p>
        <a:p>
          <a:pPr marL="171450" indent="-171450">
            <a:buFont typeface="Arial" panose="020B0604020202020204" pitchFamily="7" charset="0"/>
            <a:buChar char="•"/>
          </a:pPr>
          <a:r>
            <a:rPr lang="ru-RU" sz="1100" baseline="0"/>
            <a:t>ЕСЛИ</a:t>
          </a:r>
          <a:endParaRPr lang="ru-RU" sz="1100" baseline="0"/>
        </a:p>
        <a:p>
          <a:pPr marL="171450" indent="-171450">
            <a:buFont typeface="Arial" panose="020B0604020202020204" pitchFamily="7" charset="0"/>
            <a:buChar char="•"/>
          </a:pPr>
          <a:r>
            <a:rPr lang="ru-RU" sz="1100" baseline="0"/>
            <a:t>ВПР+ЕСЛИ</a:t>
          </a:r>
          <a:endParaRPr lang="ru-RU" sz="1100" baseline="0"/>
        </a:p>
        <a:p>
          <a:pPr marL="171450" indent="-171450">
            <a:buFont typeface="Arial" panose="020B0604020202020204" pitchFamily="7" charset="0"/>
            <a:buChar char="•"/>
          </a:pPr>
          <a:r>
            <a:rPr lang="ru-RU" sz="1100" baseline="0"/>
            <a:t>Текстовые</a:t>
          </a:r>
          <a:endParaRPr lang="ru-RU" sz="1100" baseline="0"/>
        </a:p>
        <a:p>
          <a:endParaRPr lang="ru-RU" sz="1100"/>
        </a:p>
        <a:p>
          <a:r>
            <a:rPr lang="ru-RU" sz="1100"/>
            <a:t>После выполнения сохраните файл и выложите в личном кабинете для проверки.</a:t>
          </a:r>
          <a:endParaRPr lang="ru-RU" sz="1100"/>
        </a:p>
      </xdr:txBody>
    </xdr:sp>
    <xdr:clientData/>
  </xdr:oneCellAnchor>
  <xdr:twoCellAnchor editAs="oneCell">
    <xdr:from>
      <xdr:col>4</xdr:col>
      <xdr:colOff>306397</xdr:colOff>
      <xdr:row>3</xdr:row>
      <xdr:rowOff>47874</xdr:rowOff>
    </xdr:from>
    <xdr:to>
      <xdr:col>6</xdr:col>
      <xdr:colOff>603217</xdr:colOff>
      <xdr:row>6</xdr:row>
      <xdr:rowOff>28726</xdr:rowOff>
    </xdr:to>
    <xdr:pic>
      <xdr:nvPicPr>
        <xdr:cNvPr id="4" name="Рисунок 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69" t="29151" r="6170" b="31260"/>
        <a:stretch>
          <a:fillRect/>
        </a:stretch>
      </xdr:blipFill>
      <xdr:spPr>
        <a:xfrm>
          <a:off x="2797810" y="590550"/>
          <a:ext cx="1542415" cy="523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333375</xdr:colOff>
      <xdr:row>0</xdr:row>
      <xdr:rowOff>161924</xdr:rowOff>
    </xdr:from>
    <xdr:ext cx="6419849" cy="1231904"/>
    <xdr:sp>
      <xdr:nvSpPr>
        <xdr:cNvPr id="2" name="TextBox 1"/>
        <xdr:cNvSpPr txBox="1"/>
      </xdr:nvSpPr>
      <xdr:spPr>
        <a:xfrm>
          <a:off x="333375" y="161290"/>
          <a:ext cx="6419215" cy="123253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ru-RU" sz="1400" b="1" u="sng"/>
            <a:t>Задание</a:t>
          </a:r>
          <a:endParaRPr lang="ru-RU" sz="1400" b="1" u="sng"/>
        </a:p>
        <a:p>
          <a:endParaRPr lang="ru-RU" sz="1100"/>
        </a:p>
        <a:p>
          <a:r>
            <a:rPr lang="ru-RU" sz="1100"/>
            <a:t>Заказ состоит из нескольких артикулов и количеств. Цены заданы в Прайс-листе.</a:t>
          </a:r>
          <a:endParaRPr lang="ru-RU" sz="1100" baseline="0"/>
        </a:p>
        <a:p>
          <a:r>
            <a:rPr lang="ru-RU" sz="1100" baseline="0"/>
            <a:t>1) </a:t>
          </a:r>
          <a:r>
            <a:rPr lang="ru-RU" sz="1100"/>
            <a:t>Используя</a:t>
          </a:r>
          <a:r>
            <a:rPr lang="ru-RU" sz="1100" baseline="0"/>
            <a:t> функцию ВПР, заполнить поля Наименование и Цена за шт.</a:t>
          </a:r>
          <a:endParaRPr lang="ru-RU" sz="1100" baseline="0"/>
        </a:p>
        <a:p>
          <a:r>
            <a:rPr lang="ru-RU" sz="1100" baseline="0"/>
            <a:t>2) Вычислить Сумму позиций и п</a:t>
          </a:r>
          <a:r>
            <a:rPr lang="ru-RU" sz="1100"/>
            <a:t>осчитать</a:t>
          </a:r>
          <a:r>
            <a:rPr lang="ru-RU" sz="1100" baseline="0"/>
            <a:t> Общую сумму заказа (выделено жёлтым).</a:t>
          </a:r>
          <a:endParaRPr lang="ru-RU" sz="1100" baseline="0"/>
        </a:p>
        <a:p>
          <a:r>
            <a:rPr lang="ru-RU" sz="1100" baseline="0"/>
            <a:t>3) Убедитесь, что вы закрепили ячейки, в которых ведётся поиск через ВПР, с помощью знака </a:t>
          </a:r>
          <a:r>
            <a:rPr lang="en-US" sz="1100" baseline="0"/>
            <a:t>$</a:t>
          </a:r>
          <a:r>
            <a:rPr lang="ru-RU" sz="1100" baseline="0"/>
            <a:t> </a:t>
          </a:r>
          <a:endParaRPr lang="ru-RU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333375</xdr:colOff>
      <xdr:row>0</xdr:row>
      <xdr:rowOff>161924</xdr:rowOff>
    </xdr:from>
    <xdr:ext cx="6419849" cy="982981"/>
    <xdr:sp>
      <xdr:nvSpPr>
        <xdr:cNvPr id="2" name="TextBox 1"/>
        <xdr:cNvSpPr txBox="1"/>
      </xdr:nvSpPr>
      <xdr:spPr>
        <a:xfrm>
          <a:off x="333375" y="161290"/>
          <a:ext cx="6419215" cy="98361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ru-RU" sz="1400" b="1" u="sng"/>
            <a:t>Задание</a:t>
          </a:r>
          <a:endParaRPr lang="ru-RU" sz="1400" b="1" u="sng"/>
        </a:p>
        <a:p>
          <a:endParaRPr lang="ru-RU" sz="1100"/>
        </a:p>
        <a:p>
          <a:r>
            <a:rPr lang="ru-RU" sz="1100"/>
            <a:t>С помощью функции ВПР (интервальный</a:t>
          </a:r>
          <a:r>
            <a:rPr lang="ru-RU" sz="1100" baseline="0"/>
            <a:t> просмотр) </a:t>
          </a:r>
          <a:r>
            <a:rPr lang="ru-RU" sz="1100"/>
            <a:t>заполнить</a:t>
          </a:r>
          <a:r>
            <a:rPr lang="ru-RU" sz="1100" baseline="0"/>
            <a:t> столбец Оценка (менее  40 баллов - 2, от 40 до </a:t>
          </a:r>
          <a:r>
            <a:rPr lang="en-US" sz="1100" baseline="0"/>
            <a:t>74 - 3, </a:t>
          </a:r>
          <a:r>
            <a:rPr lang="ru-RU" sz="1100" baseline="0"/>
            <a:t>от 75 до 89 - 4, 90 и более - 5)</a:t>
          </a:r>
          <a:endParaRPr lang="ru-RU" sz="1100" baseline="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304800</xdr:colOff>
      <xdr:row>0</xdr:row>
      <xdr:rowOff>171449</xdr:rowOff>
    </xdr:from>
    <xdr:ext cx="6419849" cy="793751"/>
    <xdr:sp>
      <xdr:nvSpPr>
        <xdr:cNvPr id="2" name="TextBox 1"/>
        <xdr:cNvSpPr txBox="1"/>
      </xdr:nvSpPr>
      <xdr:spPr>
        <a:xfrm>
          <a:off x="304800" y="170815"/>
          <a:ext cx="6419215" cy="79438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ru-RU" sz="1400" b="1" u="sng"/>
            <a:t>Задание</a:t>
          </a:r>
          <a:endParaRPr lang="ru-RU" sz="1400" b="1" u="sng"/>
        </a:p>
        <a:p>
          <a:endParaRPr lang="ru-RU" sz="1100"/>
        </a:p>
        <a:p>
          <a:r>
            <a:rPr lang="ru-RU" sz="1100"/>
            <a:t>Используя</a:t>
          </a:r>
          <a:r>
            <a:rPr lang="ru-RU" sz="1100" baseline="0"/>
            <a:t> функцию ГПР, заполнить столбец Оклад.</a:t>
          </a:r>
          <a:endParaRPr lang="ru-RU" sz="11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304800</xdr:colOff>
      <xdr:row>0</xdr:row>
      <xdr:rowOff>171450</xdr:rowOff>
    </xdr:from>
    <xdr:ext cx="6419849" cy="1238886"/>
    <xdr:sp>
      <xdr:nvSpPr>
        <xdr:cNvPr id="2" name="TextBox 1"/>
        <xdr:cNvSpPr txBox="1"/>
      </xdr:nvSpPr>
      <xdr:spPr>
        <a:xfrm>
          <a:off x="304800" y="171450"/>
          <a:ext cx="6419215" cy="123888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ru-RU" sz="1400" b="1" u="sng"/>
            <a:t>Задание</a:t>
          </a:r>
          <a:endParaRPr lang="ru-RU" sz="1400" b="1" u="sng"/>
        </a:p>
        <a:p>
          <a:endParaRPr lang="ru-RU" sz="1100"/>
        </a:p>
        <a:p>
          <a:r>
            <a:rPr lang="ru-RU" sz="1100"/>
            <a:t>Изучить самостоятельно текстовую функцию ПСТР.</a:t>
          </a:r>
          <a:r>
            <a:rPr lang="ru-RU" sz="1100" baseline="0"/>
            <a:t> Для этого:</a:t>
          </a:r>
          <a:endParaRPr lang="ru-RU" sz="1100"/>
        </a:p>
        <a:p>
          <a:r>
            <a:rPr lang="ru-RU" sz="1100"/>
            <a:t>1) Найти её в Мастере</a:t>
          </a:r>
          <a:r>
            <a:rPr lang="ru-RU" sz="1100" baseline="0"/>
            <a:t> функций (текстовая категория)</a:t>
          </a:r>
          <a:endParaRPr lang="en-US" sz="1100" baseline="0"/>
        </a:p>
        <a:p>
          <a:r>
            <a:rPr lang="ru-RU" sz="1100" baseline="0"/>
            <a:t>2) Прочитать </a:t>
          </a:r>
          <a:r>
            <a:rPr lang="ru-RU" sz="1100" b="1" baseline="0"/>
            <a:t>Справку</a:t>
          </a:r>
          <a:r>
            <a:rPr lang="ru-RU" sz="1100" baseline="0"/>
            <a:t> по этой функции</a:t>
          </a:r>
          <a:endParaRPr lang="ru-RU" sz="1100" baseline="0"/>
        </a:p>
        <a:p>
          <a:r>
            <a:rPr lang="ru-RU" sz="1100"/>
            <a:t>3)</a:t>
          </a:r>
          <a:r>
            <a:rPr lang="ru-RU" sz="1100" baseline="0"/>
            <a:t> На данном листе выписать и выполнить все примеры из Справки</a:t>
          </a:r>
          <a:endParaRPr lang="ru-RU" sz="1100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257175</xdr:colOff>
      <xdr:row>0</xdr:row>
      <xdr:rowOff>171449</xdr:rowOff>
    </xdr:from>
    <xdr:ext cx="7134225" cy="2077767"/>
    <xdr:sp>
      <xdr:nvSpPr>
        <xdr:cNvPr id="2" name="TextBox 1"/>
        <xdr:cNvSpPr txBox="1"/>
      </xdr:nvSpPr>
      <xdr:spPr>
        <a:xfrm>
          <a:off x="257175" y="170815"/>
          <a:ext cx="7134225" cy="207835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ru-RU" sz="1400" b="1" u="sng"/>
            <a:t>Задание</a:t>
          </a:r>
          <a:endParaRPr lang="ru-RU" sz="1400" b="1" u="sng"/>
        </a:p>
        <a:p>
          <a:endParaRPr lang="en-US" sz="1100"/>
        </a:p>
        <a:p>
          <a:r>
            <a:rPr lang="ru-RU" sz="1100"/>
            <a:t>Используя</a:t>
          </a:r>
          <a:r>
            <a:rPr lang="ru-RU" sz="1100" baseline="0"/>
            <a:t> функцию ЕСЛИ:</a:t>
          </a:r>
          <a:endParaRPr lang="ru-RU" sz="1100"/>
        </a:p>
        <a:p>
          <a:r>
            <a:rPr lang="ru-RU" sz="1100"/>
            <a:t>1) Заполнить</a:t>
          </a:r>
          <a:r>
            <a:rPr lang="ru-RU" sz="1100" baseline="0"/>
            <a:t> столбец Зарплата по следующему принципу: если Оклад меньше 15 000, то указать 15 000, в ином случае указать значение Оклада без изменений</a:t>
          </a:r>
          <a:endParaRPr lang="ru-RU" sz="1100" baseline="0"/>
        </a:p>
        <a:p>
          <a:r>
            <a:rPr lang="ru-RU" sz="1100" baseline="0"/>
            <a:t>2) Столбец Премия заполнить следующим образом:</a:t>
          </a:r>
          <a:endParaRPr lang="en-US" sz="1100" baseline="0"/>
        </a:p>
        <a:p>
          <a:r>
            <a:rPr lang="en-US" sz="1100" baseline="0"/>
            <a:t>-</a:t>
          </a:r>
          <a:r>
            <a:rPr lang="ru-RU" sz="1100" baseline="0"/>
            <a:t> всем Менеджерам указать премию </a:t>
          </a:r>
          <a:r>
            <a:rPr lang="en-US" sz="1100" baseline="0"/>
            <a:t>2</a:t>
          </a:r>
          <a:r>
            <a:rPr lang="ru-RU" sz="1100" baseline="0"/>
            <a:t>0% от Оклада</a:t>
          </a:r>
          <a:endParaRPr lang="en-US" sz="1100" baseline="0"/>
        </a:p>
        <a:p>
          <a:r>
            <a:rPr lang="en-US" sz="1100" baseline="0"/>
            <a:t>- </a:t>
          </a:r>
          <a:r>
            <a:rPr lang="ru-RU" sz="1100" baseline="0"/>
            <a:t>всем Стажерам указать премию 0</a:t>
          </a:r>
          <a:endParaRPr lang="en-US" sz="1100" baseline="0"/>
        </a:p>
        <a:p>
          <a:r>
            <a:rPr lang="ru-RU" sz="1100" baseline="0"/>
            <a:t>- остальным фиксировано 5 000.</a:t>
          </a:r>
          <a:endParaRPr lang="ru-RU" sz="1100" baseline="0"/>
        </a:p>
        <a:p>
          <a:endParaRPr lang="ru-RU" sz="1100" baseline="0"/>
        </a:p>
        <a:p>
          <a:r>
            <a:rPr lang="ru-RU" sz="1100" baseline="0"/>
            <a:t>Для выполнения задания нужно использовать вложенную функцию ЕСЛИ.</a:t>
          </a:r>
          <a:endParaRPr lang="ru-RU" sz="1100" baseline="0"/>
        </a:p>
      </xdr:txBody>
    </xdr:sp>
    <xdr:clientData/>
  </xdr:oneCellAnchor>
  <xdr:twoCellAnchor>
    <xdr:from>
      <xdr:col>7</xdr:col>
      <xdr:colOff>368633</xdr:colOff>
      <xdr:row>4</xdr:row>
      <xdr:rowOff>4787</xdr:rowOff>
    </xdr:from>
    <xdr:to>
      <xdr:col>12</xdr:col>
      <xdr:colOff>90962</xdr:colOff>
      <xdr:row>8</xdr:row>
      <xdr:rowOff>138836</xdr:rowOff>
    </xdr:to>
    <xdr:sp>
      <xdr:nvSpPr>
        <xdr:cNvPr id="4" name="TextBox 3">
          <a:hlinkClick xmlns:r="http://schemas.openxmlformats.org/officeDocument/2006/relationships" r:id="rId1"/>
        </xdr:cNvPr>
        <xdr:cNvSpPr txBox="1"/>
      </xdr:nvSpPr>
      <xdr:spPr>
        <a:xfrm>
          <a:off x="7626350" y="728345"/>
          <a:ext cx="2837180" cy="857885"/>
        </a:xfrm>
        <a:prstGeom prst="rect">
          <a:avLst/>
        </a:prstGeom>
        <a:solidFill>
          <a:schemeClr val="lt1"/>
        </a:solidFill>
        <a:ln w="31750" cmpd="sng">
          <a:solidFill>
            <a:schemeClr val="accent3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500"/>
            <a:t>Нажмите сюда, чтобы посмотреть обучающее видео по вложенным функциям на примере ЕСЛИ</a:t>
          </a:r>
          <a:endParaRPr lang="ru-RU" sz="15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333375</xdr:colOff>
      <xdr:row>0</xdr:row>
      <xdr:rowOff>161924</xdr:rowOff>
    </xdr:from>
    <xdr:ext cx="6419849" cy="982981"/>
    <xdr:sp>
      <xdr:nvSpPr>
        <xdr:cNvPr id="2" name="TextBox 1"/>
        <xdr:cNvSpPr txBox="1"/>
      </xdr:nvSpPr>
      <xdr:spPr>
        <a:xfrm>
          <a:off x="333375" y="161290"/>
          <a:ext cx="6419215" cy="98361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ru-RU" sz="1400" b="1" u="sng"/>
            <a:t>Задание</a:t>
          </a:r>
          <a:endParaRPr lang="ru-RU" sz="1400" b="1" u="sng"/>
        </a:p>
        <a:p>
          <a:endParaRPr lang="ru-RU" sz="1100"/>
        </a:p>
        <a:p>
          <a:r>
            <a:rPr lang="ru-RU" sz="1100" baseline="0"/>
            <a:t>Заполнить столбец Оклад, учитывая Должность и Номер филиала.</a:t>
          </a:r>
          <a:endParaRPr lang="ru-RU" sz="1100" baseline="0"/>
        </a:p>
        <a:p>
          <a:r>
            <a:rPr lang="ru-RU" sz="1100" baseline="0"/>
            <a:t>Необходимо использовать комбинацию функций ВПР и ЕСЛИ.</a:t>
          </a:r>
          <a:endParaRPr lang="ru-RU" sz="1100" baseline="0"/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333375</xdr:colOff>
      <xdr:row>0</xdr:row>
      <xdr:rowOff>161924</xdr:rowOff>
    </xdr:from>
    <xdr:ext cx="6419849" cy="1938656"/>
    <xdr:sp>
      <xdr:nvSpPr>
        <xdr:cNvPr id="2" name="TextBox 1"/>
        <xdr:cNvSpPr txBox="1"/>
      </xdr:nvSpPr>
      <xdr:spPr>
        <a:xfrm>
          <a:off x="333375" y="161290"/>
          <a:ext cx="6419215" cy="193929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ru-RU" sz="1400" b="1" u="sng"/>
            <a:t>Задание</a:t>
          </a:r>
          <a:endParaRPr lang="ru-RU" sz="1400" b="1" u="sng"/>
        </a:p>
        <a:p>
          <a:endParaRPr lang="ru-RU" sz="1100"/>
        </a:p>
        <a:p>
          <a:r>
            <a:rPr lang="ru-RU" sz="1100" baseline="0"/>
            <a:t>Выполнить последовательно:</a:t>
          </a:r>
          <a:endParaRPr lang="ru-RU" sz="1100" baseline="0"/>
        </a:p>
        <a:p>
          <a:r>
            <a:rPr lang="ru-RU" sz="1100" baseline="0"/>
            <a:t>1) С помощью функции СЖПРОБЕЛЫ заполнить столбец Без лишних пробелов</a:t>
          </a:r>
          <a:endParaRPr lang="ru-RU" sz="1100" baseline="0"/>
        </a:p>
        <a:p>
          <a:r>
            <a:rPr lang="ru-RU" sz="1100" baseline="0"/>
            <a:t>2) С помощью инструмента Текст по столбцам заполнить столбцы Фамилия, Имя, Отчество</a:t>
          </a:r>
          <a:endParaRPr lang="ru-RU" sz="1100" baseline="0"/>
        </a:p>
        <a:p>
          <a:r>
            <a:rPr lang="ru-RU" sz="1100" baseline="0"/>
            <a:t>3) С помощью функций ПРОПИСН и СТРОЧН заполнить столбец В формате ФАМИЛИЯ имя</a:t>
          </a:r>
          <a:endParaRPr lang="ru-RU" sz="1100" baseline="0"/>
        </a:p>
        <a:p>
          <a:r>
            <a:rPr lang="ru-RU" sz="1100" baseline="0"/>
            <a:t>4) С помощью функции ЛЕВСИМВ заполнить столбцы Первая буква имени и Первая буква отчества</a:t>
          </a:r>
          <a:endParaRPr lang="ru-RU" sz="1100" baseline="0"/>
        </a:p>
        <a:p>
          <a:r>
            <a:rPr lang="ru-RU" sz="1100" baseline="0"/>
            <a:t>5) С помощью операции сцепления </a:t>
          </a:r>
          <a:r>
            <a:rPr lang="en-US" sz="1100" baseline="0"/>
            <a:t>&amp; </a:t>
          </a:r>
          <a:r>
            <a:rPr lang="ru-RU" sz="1100" baseline="0"/>
            <a:t>заполнить столбец В формате Фамилия И.О.</a:t>
          </a:r>
          <a:endParaRPr lang="ru-RU" sz="1100" baseline="0"/>
        </a:p>
        <a:p>
          <a:endParaRPr lang="ru-RU" sz="1100" baseline="0"/>
        </a:p>
        <a:p>
          <a:r>
            <a:rPr lang="ru-RU" sz="1100" baseline="0"/>
            <a:t>Приведены образцы выполнения для первых 3 записей</a:t>
          </a:r>
          <a:endParaRPr lang="ru-RU" sz="1100" baseline="0"/>
        </a:p>
      </xdr:txBody>
    </xdr:sp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24" sqref="G24"/>
    </sheetView>
  </sheetViews>
  <sheetFormatPr defaultColWidth="9" defaultRowHeight="14.25"/>
  <sheetData/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0.399975585192419"/>
  </sheetPr>
  <dimension ref="A9:J66"/>
  <sheetViews>
    <sheetView topLeftCell="A5" workbookViewId="0">
      <selection activeCell="H63" sqref="H63"/>
    </sheetView>
  </sheetViews>
  <sheetFormatPr defaultColWidth="9" defaultRowHeight="14.25"/>
  <cols>
    <col min="1" max="1" width="14.7339449541284" customWidth="1"/>
    <col min="2" max="2" width="12" style="25" customWidth="1"/>
    <col min="3" max="3" width="49.1284403669725" customWidth="1"/>
    <col min="4" max="4" width="17.7339449541284" style="6" customWidth="1"/>
    <col min="5" max="5" width="16.8623853211009" customWidth="1"/>
    <col min="8" max="8" width="10.394495412844" style="14" customWidth="1"/>
    <col min="9" max="9" width="64.2660550458716" style="26" customWidth="1"/>
    <col min="10" max="10" width="12.394495412844" style="27" customWidth="1"/>
  </cols>
  <sheetData>
    <row r="9" ht="21.05" spans="1:10">
      <c r="A9" s="28" t="s">
        <v>0</v>
      </c>
      <c r="B9" s="28"/>
      <c r="C9" s="28"/>
      <c r="D9" s="28"/>
      <c r="E9" s="28"/>
      <c r="H9" s="29" t="s">
        <v>1</v>
      </c>
      <c r="I9" s="29"/>
      <c r="J9" s="29"/>
    </row>
    <row r="10" ht="16.3" spans="1:10">
      <c r="A10" s="30" t="s">
        <v>2</v>
      </c>
      <c r="B10" s="31" t="s">
        <v>3</v>
      </c>
      <c r="C10" s="30" t="s">
        <v>4</v>
      </c>
      <c r="D10" s="32" t="s">
        <v>5</v>
      </c>
      <c r="E10" s="30" t="s">
        <v>6</v>
      </c>
      <c r="H10" s="33" t="s">
        <v>2</v>
      </c>
      <c r="I10" s="34" t="s">
        <v>4</v>
      </c>
      <c r="J10" s="35" t="s">
        <v>5</v>
      </c>
    </row>
    <row r="11" ht="37.55" customHeight="1" spans="1:10">
      <c r="A11" s="36" t="s">
        <v>7</v>
      </c>
      <c r="B11" s="37">
        <v>2</v>
      </c>
      <c r="C11" s="38" t="str">
        <f ca="1">VLOOKUP(A11,$H$9:$J$66,2,0)</f>
        <v>Ноутбук ASUS X55A-SX208D,  2048Mb, 320Gb, DVD-SMulti, Intel HD, BT, WiFi, WEB-Cam, noOS, 2.6kg, Black</v>
      </c>
      <c r="D11" s="38">
        <f ca="1">VLOOKUP(C11,H9:J66,3)</f>
        <v>780</v>
      </c>
      <c r="E11" s="39">
        <f ca="1">D11*B11</f>
        <v>1560</v>
      </c>
      <c r="H11" s="40" t="s">
        <v>8</v>
      </c>
      <c r="I11" s="41" t="s">
        <v>9</v>
      </c>
      <c r="J11" s="42">
        <v>42445</v>
      </c>
    </row>
    <row r="12" ht="37.55" customHeight="1" spans="1:10">
      <c r="A12" s="36" t="s">
        <v>10</v>
      </c>
      <c r="B12" s="37">
        <v>2</v>
      </c>
      <c r="C12" s="38" t="str">
        <f ca="1" t="shared" ref="C12:C20" si="0">VLOOKUP(A12,$H$9:$J$66,2,0)</f>
        <v>Ноутбук HP ProBook 4540s + сумка  15.6"HD, Pentium DC 2020M,  6Gb, 750Gb, DVD-SMulti, HD7650 2048M, WiFi, BT, WEB-Cam2MP, noOS, 2.4kg, + bag</v>
      </c>
      <c r="D12" s="38">
        <f ca="1" t="shared" ref="D12:D20" si="1">VLOOKUP(C12,H10:J67,3)</f>
        <v>780</v>
      </c>
      <c r="E12" s="39">
        <f ca="1" t="shared" ref="E12:E20" si="2">D12*B12</f>
        <v>1560</v>
      </c>
      <c r="H12" s="40" t="s">
        <v>11</v>
      </c>
      <c r="I12" s="41" t="s">
        <v>12</v>
      </c>
      <c r="J12" s="42">
        <v>48360</v>
      </c>
    </row>
    <row r="13" ht="37.55" customHeight="1" spans="1:10">
      <c r="A13" s="36" t="s">
        <v>13</v>
      </c>
      <c r="B13" s="37">
        <v>2</v>
      </c>
      <c r="C13" s="38" t="str">
        <f ca="1" t="shared" si="0"/>
        <v>Ноутбук ASUS PU500CA  15.6"HD, Intel Core i3 3217U, 4096Mb, 500Gb, No ODD, Intel HD4000, BT, WiFi, WEB-Cam, noOS, 1.9kg, Black</v>
      </c>
      <c r="D13" s="38">
        <f ca="1" t="shared" si="1"/>
        <v>780</v>
      </c>
      <c r="E13" s="39">
        <f ca="1" t="shared" si="2"/>
        <v>1560</v>
      </c>
      <c r="H13" s="40" t="s">
        <v>13</v>
      </c>
      <c r="I13" s="41" t="s">
        <v>14</v>
      </c>
      <c r="J13" s="42">
        <v>37375</v>
      </c>
    </row>
    <row r="14" ht="37.55" customHeight="1" spans="1:10">
      <c r="A14" s="36" t="s">
        <v>15</v>
      </c>
      <c r="B14" s="37">
        <v>5</v>
      </c>
      <c r="C14" s="38" t="str">
        <f ca="1" t="shared" si="0"/>
        <v>Ноутбук ASUS X75VC-TY014D,  4096Mb, 500Gb, DVD-SMulti, GF GT720M 2048M, WiFi, BT, WEB-Cam, noOS, 3kg, White</v>
      </c>
      <c r="D14" s="38">
        <f ca="1" t="shared" si="1"/>
        <v>780</v>
      </c>
      <c r="E14" s="39">
        <f ca="1" t="shared" si="2"/>
        <v>3900</v>
      </c>
      <c r="H14" s="40" t="s">
        <v>16</v>
      </c>
      <c r="I14" s="41" t="s">
        <v>17</v>
      </c>
      <c r="J14" s="42">
        <v>19305</v>
      </c>
    </row>
    <row r="15" ht="37.55" customHeight="1" spans="1:10">
      <c r="A15" s="36" t="s">
        <v>7</v>
      </c>
      <c r="B15" s="37">
        <v>5</v>
      </c>
      <c r="C15" s="38" t="str">
        <f ca="1" t="shared" si="0"/>
        <v>Ноутбук ASUS X55A-SX208D,  2048Mb, 320Gb, DVD-SMulti, Intel HD, BT, WiFi, WEB-Cam, noOS, 2.6kg, Black</v>
      </c>
      <c r="D15" s="38">
        <f ca="1" t="shared" si="1"/>
        <v>780</v>
      </c>
      <c r="E15" s="39">
        <f ca="1" t="shared" si="2"/>
        <v>3900</v>
      </c>
      <c r="H15" s="40" t="s">
        <v>18</v>
      </c>
      <c r="I15" s="41" t="s">
        <v>19</v>
      </c>
      <c r="J15" s="42">
        <v>19370</v>
      </c>
    </row>
    <row r="16" ht="37.55" customHeight="1" spans="1:10">
      <c r="A16" s="36" t="s">
        <v>20</v>
      </c>
      <c r="B16" s="37">
        <v>1</v>
      </c>
      <c r="C16" s="38" t="str">
        <f ca="1" t="shared" si="0"/>
        <v>Сумка для ноутбука 15.6" HQ-Tech EE-1516H </v>
      </c>
      <c r="D16" s="38">
        <f ca="1" t="shared" si="1"/>
        <v>780</v>
      </c>
      <c r="E16" s="39">
        <f ca="1" t="shared" si="2"/>
        <v>780</v>
      </c>
      <c r="H16" s="40" t="s">
        <v>21</v>
      </c>
      <c r="I16" s="41" t="s">
        <v>22</v>
      </c>
      <c r="J16" s="42">
        <v>19955</v>
      </c>
    </row>
    <row r="17" ht="37.55" customHeight="1" spans="1:10">
      <c r="A17" s="36" t="s">
        <v>23</v>
      </c>
      <c r="B17" s="37">
        <v>1</v>
      </c>
      <c r="C17" s="38" t="str">
        <f ca="1" t="shared" si="0"/>
        <v>Сумка для ноутбука 15.6" G-Cube Paint Splash  Handle-Violet</v>
      </c>
      <c r="D17" s="38">
        <f ca="1" t="shared" si="1"/>
        <v>780</v>
      </c>
      <c r="E17" s="39">
        <f ca="1" t="shared" si="2"/>
        <v>780</v>
      </c>
      <c r="H17" s="40" t="s">
        <v>24</v>
      </c>
      <c r="I17" s="41" t="s">
        <v>25</v>
      </c>
      <c r="J17" s="42">
        <v>22165</v>
      </c>
    </row>
    <row r="18" ht="37.55" customHeight="1" spans="1:10">
      <c r="A18" s="36" t="s">
        <v>26</v>
      </c>
      <c r="B18" s="37">
        <v>3</v>
      </c>
      <c r="C18" s="38" t="str">
        <f ca="1" t="shared" si="0"/>
        <v>Сумка для ноутбука 13.3" HQ-Tech  Black-Brown, нейлон, женская, Damask Nylon</v>
      </c>
      <c r="D18" s="38">
        <f ca="1" t="shared" si="1"/>
        <v>780</v>
      </c>
      <c r="E18" s="39">
        <f ca="1" t="shared" si="2"/>
        <v>2340</v>
      </c>
      <c r="H18" s="40" t="s">
        <v>27</v>
      </c>
      <c r="I18" s="41" t="s">
        <v>28</v>
      </c>
      <c r="J18" s="42">
        <v>30745</v>
      </c>
    </row>
    <row r="19" ht="37.55" customHeight="1" spans="1:10">
      <c r="A19" s="36" t="s">
        <v>21</v>
      </c>
      <c r="B19" s="37">
        <v>2</v>
      </c>
      <c r="C19" s="38" t="str">
        <f ca="1" t="shared" si="0"/>
        <v>Ноутбук ASUS X502CA-XX048D,  4096Mb, 500Gb, No ODD, Intel HD, BT, WiFi, WEB-Cam1.3MP, noOS, 1.8kg, White</v>
      </c>
      <c r="D19" s="38">
        <f ca="1" t="shared" si="1"/>
        <v>780</v>
      </c>
      <c r="E19" s="39">
        <f ca="1" t="shared" si="2"/>
        <v>1560</v>
      </c>
      <c r="H19" s="40" t="s">
        <v>29</v>
      </c>
      <c r="I19" s="41" t="s">
        <v>30</v>
      </c>
      <c r="J19" s="42">
        <v>34775</v>
      </c>
    </row>
    <row r="20" ht="37.55" customHeight="1" spans="1:10">
      <c r="A20" s="36" t="s">
        <v>31</v>
      </c>
      <c r="B20" s="37">
        <v>2</v>
      </c>
      <c r="C20" s="38" t="str">
        <f ca="1" t="shared" si="0"/>
        <v>Ноутбук ASUS X550DP-XX001D, 4GB DDR3 1600,750GB,AMD HD8670M 2GB,DVD-SM,VGA,HDMI,GLAN,WiFi,BT,WC HD,USB3.0,USB2.0,CR2in1,4cell 3000mAh,DOS,2.26kg,Dark Gray </v>
      </c>
      <c r="D20" s="38">
        <f ca="1" t="shared" si="1"/>
        <v>780</v>
      </c>
      <c r="E20" s="39">
        <f ca="1" t="shared" si="2"/>
        <v>1560</v>
      </c>
      <c r="H20" s="40" t="s">
        <v>31</v>
      </c>
      <c r="I20" s="41" t="s">
        <v>32</v>
      </c>
      <c r="J20" s="42">
        <v>35945</v>
      </c>
    </row>
    <row r="21" ht="37.55" customHeight="1" spans="1:10">
      <c r="A21" s="43" t="s">
        <v>33</v>
      </c>
      <c r="B21" s="44"/>
      <c r="C21" s="44"/>
      <c r="D21" s="44"/>
      <c r="E21" s="45">
        <f ca="1">SUM(E11:E20)</f>
        <v>19500</v>
      </c>
      <c r="H21" s="40" t="s">
        <v>34</v>
      </c>
      <c r="I21" s="41" t="s">
        <v>35</v>
      </c>
      <c r="J21" s="42">
        <v>38025</v>
      </c>
    </row>
    <row r="22" ht="37.55" customHeight="1" spans="1:10">
      <c r="H22" s="40" t="s">
        <v>7</v>
      </c>
      <c r="I22" s="41" t="s">
        <v>36</v>
      </c>
      <c r="J22" s="42">
        <v>20475</v>
      </c>
    </row>
    <row r="23" ht="37.55" customHeight="1" spans="1:10">
      <c r="H23" s="40" t="s">
        <v>37</v>
      </c>
      <c r="I23" s="41" t="s">
        <v>38</v>
      </c>
      <c r="J23" s="42">
        <v>29575</v>
      </c>
    </row>
    <row r="24" ht="37.55" customHeight="1" spans="1:10">
      <c r="H24" s="40" t="s">
        <v>39</v>
      </c>
      <c r="I24" s="41" t="s">
        <v>40</v>
      </c>
      <c r="J24" s="42">
        <v>32695</v>
      </c>
    </row>
    <row r="25" ht="37.55" customHeight="1" spans="1:10">
      <c r="H25" s="40" t="s">
        <v>15</v>
      </c>
      <c r="I25" s="41" t="s">
        <v>41</v>
      </c>
      <c r="J25" s="42">
        <v>32695</v>
      </c>
    </row>
    <row r="26" ht="37.55" customHeight="1" spans="1:10">
      <c r="H26" s="40" t="s">
        <v>42</v>
      </c>
      <c r="I26" s="41" t="s">
        <v>43</v>
      </c>
      <c r="J26" s="42">
        <v>37050</v>
      </c>
    </row>
    <row r="27" ht="37.55" customHeight="1" spans="1:10">
      <c r="H27" s="40" t="s">
        <v>44</v>
      </c>
      <c r="I27" s="41" t="s">
        <v>45</v>
      </c>
      <c r="J27" s="42">
        <v>37050</v>
      </c>
    </row>
    <row r="28" ht="37.55" customHeight="1" spans="1:10">
      <c r="H28" s="40" t="s">
        <v>46</v>
      </c>
      <c r="I28" s="41" t="s">
        <v>47</v>
      </c>
      <c r="J28" s="42">
        <v>22815</v>
      </c>
    </row>
    <row r="29" ht="37.55" customHeight="1" spans="1:10">
      <c r="H29" s="40" t="s">
        <v>48</v>
      </c>
      <c r="I29" s="41" t="s">
        <v>49</v>
      </c>
      <c r="J29" s="42">
        <v>27430</v>
      </c>
    </row>
    <row r="30" ht="37.55" customHeight="1" spans="1:10">
      <c r="H30" s="40" t="s">
        <v>50</v>
      </c>
      <c r="I30" s="41" t="s">
        <v>51</v>
      </c>
      <c r="J30" s="42">
        <v>20150</v>
      </c>
    </row>
    <row r="31" ht="37.55" customHeight="1" spans="1:10">
      <c r="H31" s="40" t="s">
        <v>52</v>
      </c>
      <c r="I31" s="41" t="s">
        <v>53</v>
      </c>
      <c r="J31" s="42">
        <v>19500</v>
      </c>
    </row>
    <row r="32" ht="37.55" customHeight="1" spans="1:10">
      <c r="H32" s="40" t="s">
        <v>54</v>
      </c>
      <c r="I32" s="41" t="s">
        <v>55</v>
      </c>
      <c r="J32" s="42">
        <v>35100</v>
      </c>
    </row>
    <row r="33" ht="37.55" customHeight="1" spans="8:10">
      <c r="H33" s="40" t="s">
        <v>56</v>
      </c>
      <c r="I33" s="41" t="s">
        <v>57</v>
      </c>
      <c r="J33" s="42">
        <v>39130</v>
      </c>
    </row>
    <row r="34" ht="37.55" customHeight="1" spans="8:10">
      <c r="H34" s="40" t="s">
        <v>58</v>
      </c>
      <c r="I34" s="41" t="s">
        <v>59</v>
      </c>
      <c r="J34" s="42">
        <v>26260</v>
      </c>
    </row>
    <row r="35" ht="37.55" customHeight="1" spans="8:10">
      <c r="H35" s="40" t="s">
        <v>60</v>
      </c>
      <c r="I35" s="41" t="s">
        <v>61</v>
      </c>
      <c r="J35" s="42">
        <v>38935</v>
      </c>
    </row>
    <row r="36" ht="37.55" customHeight="1" spans="8:10">
      <c r="H36" s="40" t="s">
        <v>62</v>
      </c>
      <c r="I36" s="41" t="s">
        <v>63</v>
      </c>
      <c r="J36" s="42">
        <v>38675</v>
      </c>
    </row>
    <row r="37" ht="37.55" customHeight="1" spans="8:10">
      <c r="H37" s="40" t="s">
        <v>64</v>
      </c>
      <c r="I37" s="41" t="s">
        <v>65</v>
      </c>
      <c r="J37" s="42">
        <v>38870</v>
      </c>
    </row>
    <row r="38" ht="37.55" customHeight="1" spans="8:10">
      <c r="H38" s="40" t="s">
        <v>66</v>
      </c>
      <c r="I38" s="41" t="s">
        <v>67</v>
      </c>
      <c r="J38" s="42">
        <v>40040</v>
      </c>
    </row>
    <row r="39" ht="37.55" customHeight="1" spans="8:10">
      <c r="H39" s="40" t="s">
        <v>10</v>
      </c>
      <c r="I39" s="41" t="s">
        <v>68</v>
      </c>
      <c r="J39" s="42">
        <v>34255</v>
      </c>
    </row>
    <row r="40" ht="37.55" customHeight="1" spans="8:10">
      <c r="H40" s="40" t="s">
        <v>69</v>
      </c>
      <c r="I40" s="41" t="s">
        <v>70</v>
      </c>
      <c r="J40" s="42">
        <v>31915</v>
      </c>
    </row>
    <row r="41" ht="37.55" customHeight="1" spans="8:10">
      <c r="H41" s="40" t="s">
        <v>71</v>
      </c>
      <c r="I41" s="41" t="s">
        <v>72</v>
      </c>
      <c r="J41" s="42">
        <v>43940</v>
      </c>
    </row>
    <row r="42" ht="37.55" customHeight="1" spans="8:10">
      <c r="H42" s="40" t="s">
        <v>73</v>
      </c>
      <c r="I42" s="41" t="s">
        <v>74</v>
      </c>
      <c r="J42" s="42">
        <v>37505</v>
      </c>
    </row>
    <row r="43" ht="37.55" customHeight="1" spans="8:10">
      <c r="H43" s="40" t="s">
        <v>26</v>
      </c>
      <c r="I43" s="41" t="s">
        <v>75</v>
      </c>
      <c r="J43" s="42">
        <v>910</v>
      </c>
    </row>
    <row r="44" ht="37.55" customHeight="1" spans="8:10">
      <c r="H44" s="40" t="s">
        <v>76</v>
      </c>
      <c r="I44" s="41" t="s">
        <v>77</v>
      </c>
      <c r="J44" s="42">
        <v>1248</v>
      </c>
    </row>
    <row r="45" ht="37.55" customHeight="1" spans="8:10">
      <c r="H45" s="40" t="s">
        <v>78</v>
      </c>
      <c r="I45" s="41" t="s">
        <v>79</v>
      </c>
      <c r="J45" s="42">
        <v>682.5</v>
      </c>
    </row>
    <row r="46" ht="37.55" customHeight="1" spans="8:10">
      <c r="H46" s="40" t="s">
        <v>80</v>
      </c>
      <c r="I46" s="41" t="s">
        <v>81</v>
      </c>
      <c r="J46" s="42">
        <v>1300</v>
      </c>
    </row>
    <row r="47" ht="37.55" customHeight="1" spans="8:10">
      <c r="H47" s="40" t="s">
        <v>82</v>
      </c>
      <c r="I47" s="41" t="s">
        <v>83</v>
      </c>
      <c r="J47" s="42">
        <v>1547</v>
      </c>
    </row>
    <row r="48" ht="37.55" customHeight="1" spans="8:10">
      <c r="H48" s="40" t="s">
        <v>84</v>
      </c>
      <c r="I48" s="41" t="s">
        <v>83</v>
      </c>
      <c r="J48" s="42">
        <v>1397.5</v>
      </c>
    </row>
    <row r="49" ht="37.55" customHeight="1" spans="8:10">
      <c r="H49" s="40" t="s">
        <v>85</v>
      </c>
      <c r="I49" s="41" t="s">
        <v>86</v>
      </c>
      <c r="J49" s="42">
        <v>1397.5</v>
      </c>
    </row>
    <row r="50" ht="37.55" customHeight="1" spans="8:10">
      <c r="H50" s="40" t="s">
        <v>87</v>
      </c>
      <c r="I50" s="41" t="s">
        <v>88</v>
      </c>
      <c r="J50" s="42">
        <v>1511.25</v>
      </c>
    </row>
    <row r="51" ht="37.55" customHeight="1" spans="8:10">
      <c r="H51" s="40" t="s">
        <v>89</v>
      </c>
      <c r="I51" s="41" t="s">
        <v>90</v>
      </c>
      <c r="J51" s="42">
        <v>1118</v>
      </c>
    </row>
    <row r="52" ht="37.55" customHeight="1" spans="8:10">
      <c r="H52" s="40" t="s">
        <v>91</v>
      </c>
      <c r="I52" s="41" t="s">
        <v>92</v>
      </c>
      <c r="J52" s="42">
        <v>4940</v>
      </c>
    </row>
    <row r="53" ht="37.55" customHeight="1" spans="8:10">
      <c r="H53" s="40" t="s">
        <v>93</v>
      </c>
      <c r="I53" s="41" t="s">
        <v>94</v>
      </c>
      <c r="J53" s="42">
        <v>1365</v>
      </c>
    </row>
    <row r="54" ht="37.55" customHeight="1" spans="8:10">
      <c r="H54" s="40" t="s">
        <v>95</v>
      </c>
      <c r="I54" s="41" t="s">
        <v>96</v>
      </c>
      <c r="J54" s="42">
        <v>1352</v>
      </c>
    </row>
    <row r="55" ht="37.55" customHeight="1" spans="8:10">
      <c r="H55" s="40" t="s">
        <v>23</v>
      </c>
      <c r="I55" s="41" t="s">
        <v>97</v>
      </c>
      <c r="J55" s="42">
        <v>1352</v>
      </c>
    </row>
    <row r="56" ht="37.55" customHeight="1" spans="8:10">
      <c r="H56" s="40" t="s">
        <v>98</v>
      </c>
      <c r="I56" s="41" t="s">
        <v>99</v>
      </c>
      <c r="J56" s="42">
        <v>1267.5</v>
      </c>
    </row>
    <row r="57" ht="37.55" customHeight="1" spans="8:10">
      <c r="H57" s="40" t="s">
        <v>100</v>
      </c>
      <c r="I57" s="41" t="s">
        <v>101</v>
      </c>
      <c r="J57" s="42">
        <v>1202.5</v>
      </c>
    </row>
    <row r="58" ht="37.55" customHeight="1" spans="8:10">
      <c r="H58" s="40" t="s">
        <v>102</v>
      </c>
      <c r="I58" s="41" t="s">
        <v>103</v>
      </c>
      <c r="J58" s="42">
        <v>1235</v>
      </c>
    </row>
    <row r="59" ht="37.55" customHeight="1" spans="8:10">
      <c r="H59" s="40" t="s">
        <v>104</v>
      </c>
      <c r="I59" s="41" t="s">
        <v>105</v>
      </c>
      <c r="J59" s="42">
        <v>1300</v>
      </c>
    </row>
    <row r="60" ht="37.55" customHeight="1" spans="8:10">
      <c r="H60" s="40" t="s">
        <v>106</v>
      </c>
      <c r="I60" s="41" t="s">
        <v>107</v>
      </c>
      <c r="J60" s="42">
        <v>1397.5</v>
      </c>
    </row>
    <row r="61" ht="37.55" customHeight="1" spans="8:10">
      <c r="H61" s="40" t="s">
        <v>108</v>
      </c>
      <c r="I61" s="41" t="s">
        <v>109</v>
      </c>
      <c r="J61" s="42">
        <v>1007.5</v>
      </c>
    </row>
    <row r="62" ht="37.55" customHeight="1" spans="8:10">
      <c r="H62" s="40" t="s">
        <v>110</v>
      </c>
      <c r="I62" s="41" t="s">
        <v>111</v>
      </c>
      <c r="J62" s="42">
        <v>910</v>
      </c>
    </row>
    <row r="63" ht="37.55" customHeight="1" spans="8:10">
      <c r="H63" s="40" t="s">
        <v>20</v>
      </c>
      <c r="I63" s="41" t="s">
        <v>111</v>
      </c>
      <c r="J63" s="42">
        <v>877.5</v>
      </c>
    </row>
    <row r="64" ht="37.55" customHeight="1" spans="8:10">
      <c r="H64" s="40" t="s">
        <v>112</v>
      </c>
      <c r="I64" s="41" t="s">
        <v>113</v>
      </c>
      <c r="J64" s="42">
        <v>1592.5</v>
      </c>
    </row>
    <row r="65" ht="37.55" customHeight="1" spans="8:10">
      <c r="H65" s="40" t="s">
        <v>114</v>
      </c>
      <c r="I65" s="41" t="s">
        <v>115</v>
      </c>
      <c r="J65" s="42">
        <v>1527.5</v>
      </c>
    </row>
    <row r="66" ht="37.55" customHeight="1" spans="8:10">
      <c r="H66" s="40" t="str">
        <f ca="1" t="shared" ref="H66" si="3">CHAR(CODE("A")+RANDBETWEEN(0,15))&amp;TEXT(RANDBETWEEN(0,999),"000")</f>
        <v>E007</v>
      </c>
      <c r="I66" s="41" t="s">
        <v>116</v>
      </c>
      <c r="J66" s="42">
        <v>780</v>
      </c>
    </row>
  </sheetData>
  <mergeCells count="3">
    <mergeCell ref="A9:E9"/>
    <mergeCell ref="H9:J9"/>
    <mergeCell ref="A21:D21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0.399975585192419"/>
  </sheetPr>
  <dimension ref="A9:H29"/>
  <sheetViews>
    <sheetView workbookViewId="0">
      <selection activeCell="D25" sqref="D25"/>
    </sheetView>
  </sheetViews>
  <sheetFormatPr defaultColWidth="9" defaultRowHeight="14.25" outlineLevelCol="7"/>
  <cols>
    <col min="1" max="1" width="35.5963302752294" customWidth="1"/>
    <col min="2" max="2" width="15.394495412844" customWidth="1"/>
    <col min="3" max="3" width="17.7339449541284" customWidth="1"/>
  </cols>
  <sheetData>
    <row r="9" spans="1:8">
      <c r="A9" s="24" t="s">
        <v>117</v>
      </c>
      <c r="B9" s="24" t="s">
        <v>118</v>
      </c>
      <c r="C9" s="24" t="s">
        <v>119</v>
      </c>
      <c r="G9" s="9" t="s">
        <v>120</v>
      </c>
      <c r="H9" s="9"/>
    </row>
    <row r="10" spans="1:8">
      <c r="A10" s="19" t="s">
        <v>121</v>
      </c>
      <c r="B10" s="19">
        <v>91</v>
      </c>
      <c r="C10" s="19">
        <f>VLOOKUP(B10,$G$9:$H$13,2,1)</f>
        <v>5</v>
      </c>
      <c r="G10" s="12">
        <v>0</v>
      </c>
      <c r="H10" s="12">
        <v>2</v>
      </c>
    </row>
    <row r="11" spans="1:8">
      <c r="A11" s="19" t="s">
        <v>122</v>
      </c>
      <c r="B11" s="19">
        <v>42</v>
      </c>
      <c r="C11" s="19">
        <f t="shared" ref="C11:C29" si="0">VLOOKUP(B11,$G$9:$H$13,2,1)</f>
        <v>3</v>
      </c>
      <c r="G11" s="12">
        <v>40</v>
      </c>
      <c r="H11" s="12">
        <v>3</v>
      </c>
    </row>
    <row r="12" spans="1:8">
      <c r="A12" s="19" t="s">
        <v>123</v>
      </c>
      <c r="B12" s="19">
        <v>24</v>
      </c>
      <c r="C12" s="19">
        <f t="shared" si="0"/>
        <v>2</v>
      </c>
      <c r="G12" s="12">
        <v>75</v>
      </c>
      <c r="H12" s="12">
        <v>4</v>
      </c>
    </row>
    <row r="13" spans="1:8">
      <c r="A13" s="19" t="s">
        <v>124</v>
      </c>
      <c r="B13" s="19">
        <v>91</v>
      </c>
      <c r="C13" s="19">
        <f t="shared" si="0"/>
        <v>5</v>
      </c>
      <c r="G13" s="12">
        <v>90</v>
      </c>
      <c r="H13" s="12">
        <v>5</v>
      </c>
    </row>
    <row r="14" spans="1:8">
      <c r="A14" s="19" t="s">
        <v>125</v>
      </c>
      <c r="B14" s="19">
        <v>30</v>
      </c>
      <c r="C14" s="19">
        <f t="shared" si="0"/>
        <v>2</v>
      </c>
    </row>
    <row r="15" spans="1:8">
      <c r="A15" s="19" t="s">
        <v>126</v>
      </c>
      <c r="B15" s="19">
        <v>78</v>
      </c>
      <c r="C15" s="19">
        <f t="shared" si="0"/>
        <v>4</v>
      </c>
    </row>
    <row r="16" spans="1:8">
      <c r="A16" s="19" t="s">
        <v>127</v>
      </c>
      <c r="B16" s="19">
        <v>89</v>
      </c>
      <c r="C16" s="19">
        <f t="shared" si="0"/>
        <v>4</v>
      </c>
    </row>
    <row r="17" spans="1:3">
      <c r="A17" s="19" t="s">
        <v>128</v>
      </c>
      <c r="B17" s="19">
        <v>21</v>
      </c>
      <c r="C17" s="19">
        <f t="shared" si="0"/>
        <v>2</v>
      </c>
    </row>
    <row r="18" spans="1:3">
      <c r="A18" s="19" t="s">
        <v>129</v>
      </c>
      <c r="B18" s="19">
        <v>97</v>
      </c>
      <c r="C18" s="19">
        <f t="shared" si="0"/>
        <v>5</v>
      </c>
    </row>
    <row r="19" spans="1:3">
      <c r="A19" s="19" t="s">
        <v>130</v>
      </c>
      <c r="B19" s="19">
        <v>57</v>
      </c>
      <c r="C19" s="19">
        <f t="shared" si="0"/>
        <v>3</v>
      </c>
    </row>
    <row r="20" spans="1:3">
      <c r="A20" s="19" t="s">
        <v>131</v>
      </c>
      <c r="B20" s="19">
        <v>100</v>
      </c>
      <c r="C20" s="19">
        <f t="shared" si="0"/>
        <v>5</v>
      </c>
    </row>
    <row r="21" spans="1:3">
      <c r="A21" s="19" t="s">
        <v>132</v>
      </c>
      <c r="B21" s="19">
        <v>66</v>
      </c>
      <c r="C21" s="19">
        <f t="shared" si="0"/>
        <v>3</v>
      </c>
    </row>
    <row r="22" spans="1:3">
      <c r="A22" s="19" t="s">
        <v>133</v>
      </c>
      <c r="B22" s="19">
        <v>89</v>
      </c>
      <c r="C22" s="19">
        <f t="shared" si="0"/>
        <v>4</v>
      </c>
    </row>
    <row r="23" spans="1:3">
      <c r="A23" s="19" t="s">
        <v>134</v>
      </c>
      <c r="B23" s="19">
        <v>65</v>
      </c>
      <c r="C23" s="19">
        <f t="shared" si="0"/>
        <v>3</v>
      </c>
    </row>
    <row r="24" spans="1:3">
      <c r="A24" s="19" t="s">
        <v>135</v>
      </c>
      <c r="B24" s="19">
        <v>90</v>
      </c>
      <c r="C24" s="19">
        <f t="shared" si="0"/>
        <v>5</v>
      </c>
    </row>
    <row r="25" spans="1:3">
      <c r="A25" s="19" t="s">
        <v>136</v>
      </c>
      <c r="B25" s="19">
        <v>95</v>
      </c>
      <c r="C25" s="19">
        <f t="shared" si="0"/>
        <v>5</v>
      </c>
    </row>
    <row r="26" spans="1:3">
      <c r="A26" s="19" t="s">
        <v>137</v>
      </c>
      <c r="B26" s="19">
        <v>34</v>
      </c>
      <c r="C26" s="19">
        <f t="shared" si="0"/>
        <v>2</v>
      </c>
    </row>
    <row r="27" spans="1:3">
      <c r="A27" s="19" t="s">
        <v>138</v>
      </c>
      <c r="B27" s="19">
        <v>41</v>
      </c>
      <c r="C27" s="19">
        <f t="shared" si="0"/>
        <v>3</v>
      </c>
    </row>
    <row r="28" spans="1:3">
      <c r="A28" s="19" t="s">
        <v>139</v>
      </c>
      <c r="B28" s="19">
        <v>70</v>
      </c>
      <c r="C28" s="19">
        <f t="shared" si="0"/>
        <v>3</v>
      </c>
    </row>
    <row r="29" spans="1:3">
      <c r="A29" s="19" t="s">
        <v>140</v>
      </c>
      <c r="B29" s="19">
        <v>29</v>
      </c>
      <c r="C29" s="19">
        <f t="shared" si="0"/>
        <v>2</v>
      </c>
    </row>
  </sheetData>
  <mergeCells count="1">
    <mergeCell ref="G9:H9"/>
  </mergeCells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0.399975585192419"/>
  </sheetPr>
  <dimension ref="A9:H28"/>
  <sheetViews>
    <sheetView workbookViewId="0">
      <selection activeCell="C14" sqref="C14:C28"/>
    </sheetView>
  </sheetViews>
  <sheetFormatPr defaultColWidth="9" defaultRowHeight="14.25" outlineLevelCol="7"/>
  <cols>
    <col min="1" max="1" width="33.5963302752294" customWidth="1"/>
    <col min="2" max="2" width="18.5963302752294" customWidth="1"/>
    <col min="3" max="3" width="18.5963302752294" style="6" customWidth="1"/>
    <col min="4" max="8" width="18.5963302752294" customWidth="1"/>
  </cols>
  <sheetData>
    <row r="9" spans="1:8">
      <c r="A9" s="9" t="s">
        <v>141</v>
      </c>
      <c r="B9" s="12" t="s">
        <v>142</v>
      </c>
      <c r="C9" s="13" t="s">
        <v>143</v>
      </c>
      <c r="D9" s="12" t="s">
        <v>144</v>
      </c>
      <c r="E9" s="12" t="s">
        <v>145</v>
      </c>
      <c r="F9" s="12" t="s">
        <v>146</v>
      </c>
      <c r="G9" s="12" t="s">
        <v>147</v>
      </c>
      <c r="H9" s="12" t="s">
        <v>148</v>
      </c>
    </row>
    <row r="10" s="6" customFormat="1" spans="1:8">
      <c r="A10" s="10" t="s">
        <v>149</v>
      </c>
      <c r="B10" s="13">
        <v>100000</v>
      </c>
      <c r="C10" s="13">
        <v>80000</v>
      </c>
      <c r="D10" s="13">
        <v>50000</v>
      </c>
      <c r="E10" s="13">
        <v>30000</v>
      </c>
      <c r="F10" s="13">
        <v>10000</v>
      </c>
      <c r="G10" s="13">
        <v>35000</v>
      </c>
      <c r="H10" s="13">
        <v>35000</v>
      </c>
    </row>
    <row r="13" spans="1:8">
      <c r="A13" s="21" t="s">
        <v>150</v>
      </c>
      <c r="B13" s="21" t="s">
        <v>151</v>
      </c>
      <c r="C13" s="22" t="s">
        <v>149</v>
      </c>
    </row>
    <row r="14" spans="1:8">
      <c r="A14" s="5" t="s">
        <v>152</v>
      </c>
      <c r="B14" s="5" t="s">
        <v>144</v>
      </c>
      <c r="C14" s="23">
        <f>HLOOKUP(B14,$A$9:$H$10,2,0)</f>
        <v>50000</v>
      </c>
    </row>
    <row r="15" spans="1:8">
      <c r="A15" s="5" t="s">
        <v>153</v>
      </c>
      <c r="B15" s="5" t="s">
        <v>144</v>
      </c>
      <c r="C15" s="23">
        <f t="shared" ref="C15:C28" si="0">HLOOKUP(B15,$A$9:$H$10,2,0)</f>
        <v>50000</v>
      </c>
    </row>
    <row r="16" spans="1:8">
      <c r="A16" s="5" t="s">
        <v>154</v>
      </c>
      <c r="B16" s="5" t="s">
        <v>143</v>
      </c>
      <c r="C16" s="23">
        <f t="shared" si="0"/>
        <v>80000</v>
      </c>
    </row>
    <row r="17" spans="1:3">
      <c r="A17" s="5" t="s">
        <v>155</v>
      </c>
      <c r="B17" s="5" t="s">
        <v>142</v>
      </c>
      <c r="C17" s="23">
        <f t="shared" si="0"/>
        <v>100000</v>
      </c>
    </row>
    <row r="18" spans="1:3">
      <c r="A18" s="5" t="s">
        <v>156</v>
      </c>
      <c r="B18" s="5" t="s">
        <v>143</v>
      </c>
      <c r="C18" s="23">
        <f t="shared" si="0"/>
        <v>80000</v>
      </c>
    </row>
    <row r="19" spans="1:3">
      <c r="A19" s="5" t="s">
        <v>157</v>
      </c>
      <c r="B19" s="5" t="s">
        <v>146</v>
      </c>
      <c r="C19" s="23">
        <f t="shared" si="0"/>
        <v>10000</v>
      </c>
    </row>
    <row r="20" spans="1:3">
      <c r="A20" s="5" t="s">
        <v>158</v>
      </c>
      <c r="B20" s="5" t="s">
        <v>143</v>
      </c>
      <c r="C20" s="23">
        <f t="shared" si="0"/>
        <v>80000</v>
      </c>
    </row>
    <row r="21" spans="1:3">
      <c r="A21" s="5" t="s">
        <v>159</v>
      </c>
      <c r="B21" s="5" t="s">
        <v>148</v>
      </c>
      <c r="C21" s="23">
        <f t="shared" si="0"/>
        <v>35000</v>
      </c>
    </row>
    <row r="22" spans="1:3">
      <c r="A22" s="5" t="s">
        <v>160</v>
      </c>
      <c r="B22" s="5" t="s">
        <v>145</v>
      </c>
      <c r="C22" s="23">
        <f t="shared" si="0"/>
        <v>30000</v>
      </c>
    </row>
    <row r="23" spans="1:3">
      <c r="A23" s="5" t="s">
        <v>161</v>
      </c>
      <c r="B23" s="5" t="s">
        <v>146</v>
      </c>
      <c r="C23" s="23">
        <f t="shared" si="0"/>
        <v>10000</v>
      </c>
    </row>
    <row r="24" spans="1:3">
      <c r="A24" s="5" t="s">
        <v>162</v>
      </c>
      <c r="B24" s="5" t="s">
        <v>146</v>
      </c>
      <c r="C24" s="23">
        <f t="shared" si="0"/>
        <v>10000</v>
      </c>
    </row>
    <row r="25" spans="1:3">
      <c r="A25" s="5" t="s">
        <v>163</v>
      </c>
      <c r="B25" s="5" t="s">
        <v>144</v>
      </c>
      <c r="C25" s="23">
        <f t="shared" si="0"/>
        <v>50000</v>
      </c>
    </row>
    <row r="26" spans="1:3">
      <c r="A26" s="5" t="s">
        <v>164</v>
      </c>
      <c r="B26" s="5" t="s">
        <v>144</v>
      </c>
      <c r="C26" s="23">
        <f t="shared" si="0"/>
        <v>50000</v>
      </c>
    </row>
    <row r="27" spans="1:3">
      <c r="A27" s="5" t="s">
        <v>165</v>
      </c>
      <c r="B27" s="5" t="s">
        <v>144</v>
      </c>
      <c r="C27" s="23">
        <f t="shared" si="0"/>
        <v>50000</v>
      </c>
    </row>
    <row r="28" spans="1:3">
      <c r="A28" s="5" t="s">
        <v>166</v>
      </c>
      <c r="B28" s="5" t="s">
        <v>147</v>
      </c>
      <c r="C28" s="23">
        <f t="shared" si="0"/>
        <v>35000</v>
      </c>
    </row>
  </sheetData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</sheetPr>
  <dimension ref="A1"/>
  <sheetViews>
    <sheetView workbookViewId="0">
      <selection activeCell="A1" sqref="A1"/>
    </sheetView>
  </sheetViews>
  <sheetFormatPr defaultColWidth="9" defaultRowHeight="14.25"/>
  <cols>
    <col min="1" max="1" width="33.5963302752294" customWidth="1"/>
    <col min="2" max="2" width="31.7339449541284" customWidth="1"/>
  </cols>
  <sheetData/>
  <pageMargins left="0.7" right="0.7" top="0.75" bottom="0.75" header="0.3" footer="0.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6" tint="-0.249977111117893"/>
  </sheetPr>
  <dimension ref="A14:E29"/>
  <sheetViews>
    <sheetView workbookViewId="0">
      <selection activeCell="E15" sqref="E15:E29"/>
    </sheetView>
  </sheetViews>
  <sheetFormatPr defaultColWidth="9" defaultRowHeight="14.25" outlineLevelCol="4"/>
  <cols>
    <col min="1" max="1" width="33.2660550458716" customWidth="1"/>
    <col min="2" max="2" width="17.8623853211009" customWidth="1"/>
    <col min="3" max="3" width="11.7339449541284" style="6" customWidth="1"/>
    <col min="4" max="4" width="15" customWidth="1"/>
  </cols>
  <sheetData>
    <row r="14" s="14" customFormat="1" spans="1:5">
      <c r="A14" s="16" t="s">
        <v>150</v>
      </c>
      <c r="B14" s="16" t="s">
        <v>151</v>
      </c>
      <c r="C14" s="17" t="s">
        <v>149</v>
      </c>
      <c r="D14" s="18" t="s">
        <v>167</v>
      </c>
      <c r="E14" s="18" t="s">
        <v>168</v>
      </c>
    </row>
    <row r="15" s="15" customFormat="1" spans="1:5">
      <c r="A15" s="19" t="s">
        <v>152</v>
      </c>
      <c r="B15" s="19" t="s">
        <v>144</v>
      </c>
      <c r="C15" s="20">
        <v>50000</v>
      </c>
      <c r="D15" s="3">
        <f>IF(C15&lt;15000,15000,0)</f>
        <v>0</v>
      </c>
      <c r="E15" s="3">
        <f>IF(B15="Менеджер",C15*0.2,IF(B15="Стажер",0,5000))</f>
        <v>10000</v>
      </c>
    </row>
    <row r="16" s="15" customFormat="1" spans="1:5">
      <c r="A16" s="19" t="s">
        <v>153</v>
      </c>
      <c r="B16" s="19" t="s">
        <v>144</v>
      </c>
      <c r="C16" s="20">
        <v>50000</v>
      </c>
      <c r="D16" s="3">
        <f t="shared" ref="D16:D29" si="0">IF(C16&lt;15000,15000,0)</f>
        <v>0</v>
      </c>
      <c r="E16" s="3">
        <f t="shared" ref="E16:E29" si="1">IF(B16="Менеджер",C16*0.2,IF(B16="Стажер",0,5000))</f>
        <v>10000</v>
      </c>
    </row>
    <row r="17" s="15" customFormat="1" spans="1:5">
      <c r="A17" s="19" t="s">
        <v>154</v>
      </c>
      <c r="B17" s="19" t="s">
        <v>143</v>
      </c>
      <c r="C17" s="20">
        <v>80000</v>
      </c>
      <c r="D17" s="3">
        <f t="shared" si="0"/>
        <v>0</v>
      </c>
      <c r="E17" s="3">
        <f t="shared" si="1"/>
        <v>5000</v>
      </c>
    </row>
    <row r="18" s="15" customFormat="1" spans="1:5">
      <c r="A18" s="19" t="s">
        <v>155</v>
      </c>
      <c r="B18" s="19" t="s">
        <v>142</v>
      </c>
      <c r="C18" s="20">
        <v>100000</v>
      </c>
      <c r="D18" s="3">
        <f t="shared" si="0"/>
        <v>0</v>
      </c>
      <c r="E18" s="3">
        <f t="shared" si="1"/>
        <v>5000</v>
      </c>
    </row>
    <row r="19" spans="1:5">
      <c r="A19" s="19" t="s">
        <v>156</v>
      </c>
      <c r="B19" s="19" t="s">
        <v>143</v>
      </c>
      <c r="C19" s="20">
        <v>80000</v>
      </c>
      <c r="D19" s="3">
        <f t="shared" si="0"/>
        <v>0</v>
      </c>
      <c r="E19" s="3">
        <f t="shared" si="1"/>
        <v>5000</v>
      </c>
    </row>
    <row r="20" spans="1:5">
      <c r="A20" s="19" t="s">
        <v>157</v>
      </c>
      <c r="B20" s="19" t="s">
        <v>146</v>
      </c>
      <c r="C20" s="20">
        <v>10000</v>
      </c>
      <c r="D20" s="3">
        <f t="shared" si="0"/>
        <v>15000</v>
      </c>
      <c r="E20" s="3">
        <f t="shared" si="1"/>
        <v>0</v>
      </c>
    </row>
    <row r="21" spans="1:5">
      <c r="A21" s="19" t="s">
        <v>158</v>
      </c>
      <c r="B21" s="19" t="s">
        <v>143</v>
      </c>
      <c r="C21" s="20">
        <v>80000</v>
      </c>
      <c r="D21" s="3">
        <f t="shared" si="0"/>
        <v>0</v>
      </c>
      <c r="E21" s="3">
        <f t="shared" si="1"/>
        <v>5000</v>
      </c>
    </row>
    <row r="22" spans="1:5">
      <c r="A22" s="19" t="s">
        <v>159</v>
      </c>
      <c r="B22" s="19" t="s">
        <v>148</v>
      </c>
      <c r="C22" s="20">
        <v>35000</v>
      </c>
      <c r="D22" s="3">
        <f t="shared" si="0"/>
        <v>0</v>
      </c>
      <c r="E22" s="3">
        <f t="shared" si="1"/>
        <v>5000</v>
      </c>
    </row>
    <row r="23" spans="1:5">
      <c r="A23" s="19" t="s">
        <v>160</v>
      </c>
      <c r="B23" s="19" t="s">
        <v>145</v>
      </c>
      <c r="C23" s="20">
        <v>30000</v>
      </c>
      <c r="D23" s="3">
        <f t="shared" si="0"/>
        <v>0</v>
      </c>
      <c r="E23" s="3">
        <f t="shared" si="1"/>
        <v>5000</v>
      </c>
    </row>
    <row r="24" spans="1:5">
      <c r="A24" s="19" t="s">
        <v>161</v>
      </c>
      <c r="B24" s="19" t="s">
        <v>146</v>
      </c>
      <c r="C24" s="20">
        <v>10000</v>
      </c>
      <c r="D24" s="3">
        <f t="shared" si="0"/>
        <v>15000</v>
      </c>
      <c r="E24" s="3">
        <f t="shared" si="1"/>
        <v>0</v>
      </c>
    </row>
    <row r="25" spans="1:5">
      <c r="A25" s="19" t="s">
        <v>162</v>
      </c>
      <c r="B25" s="19" t="s">
        <v>146</v>
      </c>
      <c r="C25" s="20">
        <v>10000</v>
      </c>
      <c r="D25" s="3">
        <f t="shared" si="0"/>
        <v>15000</v>
      </c>
      <c r="E25" s="3">
        <f t="shared" si="1"/>
        <v>0</v>
      </c>
    </row>
    <row r="26" spans="1:5">
      <c r="A26" s="19" t="s">
        <v>163</v>
      </c>
      <c r="B26" s="19" t="s">
        <v>144</v>
      </c>
      <c r="C26" s="20">
        <v>50000</v>
      </c>
      <c r="D26" s="3">
        <f t="shared" si="0"/>
        <v>0</v>
      </c>
      <c r="E26" s="3">
        <f t="shared" si="1"/>
        <v>10000</v>
      </c>
    </row>
    <row r="27" spans="1:5">
      <c r="A27" s="19" t="s">
        <v>164</v>
      </c>
      <c r="B27" s="19" t="s">
        <v>144</v>
      </c>
      <c r="C27" s="20">
        <v>50000</v>
      </c>
      <c r="D27" s="3">
        <f t="shared" si="0"/>
        <v>0</v>
      </c>
      <c r="E27" s="3">
        <f t="shared" si="1"/>
        <v>10000</v>
      </c>
    </row>
    <row r="28" spans="1:5">
      <c r="A28" s="19" t="s">
        <v>165</v>
      </c>
      <c r="B28" s="19" t="s">
        <v>144</v>
      </c>
      <c r="C28" s="20">
        <v>50000</v>
      </c>
      <c r="D28" s="3">
        <f t="shared" si="0"/>
        <v>0</v>
      </c>
      <c r="E28" s="3">
        <f t="shared" si="1"/>
        <v>10000</v>
      </c>
    </row>
    <row r="29" spans="1:5">
      <c r="A29" s="19" t="s">
        <v>166</v>
      </c>
      <c r="B29" s="19" t="s">
        <v>147</v>
      </c>
      <c r="C29" s="20">
        <v>35000</v>
      </c>
      <c r="D29" s="3">
        <f t="shared" si="0"/>
        <v>0</v>
      </c>
      <c r="E29" s="3">
        <f t="shared" si="1"/>
        <v>5000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6" tint="-0.249977111117893"/>
  </sheetPr>
  <dimension ref="A9:H35"/>
  <sheetViews>
    <sheetView topLeftCell="B1" workbookViewId="0">
      <selection activeCell="D10" sqref="D10"/>
    </sheetView>
  </sheetViews>
  <sheetFormatPr defaultColWidth="9" defaultRowHeight="14.25" outlineLevelCol="7"/>
  <cols>
    <col min="1" max="2" width="35.5963302752294" customWidth="1"/>
    <col min="3" max="3" width="15.8623853211009" customWidth="1"/>
    <col min="4" max="4" width="15.394495412844" style="6" customWidth="1"/>
    <col min="6" max="6" width="20.5963302752294" customWidth="1"/>
    <col min="7" max="8" width="15.8623853211009" customWidth="1"/>
  </cols>
  <sheetData>
    <row r="9" spans="1:8">
      <c r="A9" s="7" t="s">
        <v>150</v>
      </c>
      <c r="B9" s="7" t="s">
        <v>151</v>
      </c>
      <c r="C9" s="7" t="s">
        <v>169</v>
      </c>
      <c r="D9" s="8" t="s">
        <v>149</v>
      </c>
      <c r="F9" s="9" t="s">
        <v>141</v>
      </c>
      <c r="G9" s="10" t="s">
        <v>170</v>
      </c>
      <c r="H9" s="10" t="s">
        <v>171</v>
      </c>
    </row>
    <row r="10" spans="1:8">
      <c r="A10" s="5" t="s">
        <v>162</v>
      </c>
      <c r="B10" s="5" t="s">
        <v>146</v>
      </c>
      <c r="C10" s="3">
        <v>1</v>
      </c>
      <c r="D10" s="11">
        <f>VLOOKUP(B10,$F$10:$H$16,IF(C10=1,2,3),0)</f>
        <v>10000</v>
      </c>
      <c r="F10" s="12" t="s">
        <v>142</v>
      </c>
      <c r="G10" s="13">
        <v>100000</v>
      </c>
      <c r="H10" s="13">
        <v>110000</v>
      </c>
    </row>
    <row r="11" spans="1:8">
      <c r="A11" s="5" t="s">
        <v>158</v>
      </c>
      <c r="B11" s="5" t="s">
        <v>143</v>
      </c>
      <c r="C11" s="3">
        <v>1</v>
      </c>
      <c r="D11" s="11">
        <f t="shared" ref="D11:D35" si="0">VLOOKUP(B11,$F$10:$H$16,IF(C11=1,2,3),0)</f>
        <v>80000</v>
      </c>
      <c r="F11" s="13" t="s">
        <v>143</v>
      </c>
      <c r="G11" s="13">
        <v>80000</v>
      </c>
      <c r="H11" s="13">
        <v>80000</v>
      </c>
    </row>
    <row r="12" spans="1:8">
      <c r="A12" s="5" t="s">
        <v>172</v>
      </c>
      <c r="B12" s="5" t="s">
        <v>144</v>
      </c>
      <c r="C12" s="3">
        <v>2</v>
      </c>
      <c r="D12" s="11">
        <f t="shared" si="0"/>
        <v>53000</v>
      </c>
      <c r="F12" s="12" t="s">
        <v>144</v>
      </c>
      <c r="G12" s="13">
        <v>50000</v>
      </c>
      <c r="H12" s="13">
        <v>53000</v>
      </c>
    </row>
    <row r="13" spans="1:8">
      <c r="A13" s="5" t="s">
        <v>154</v>
      </c>
      <c r="B13" s="5" t="s">
        <v>143</v>
      </c>
      <c r="C13" s="3">
        <v>1</v>
      </c>
      <c r="D13" s="11">
        <f t="shared" si="0"/>
        <v>80000</v>
      </c>
      <c r="F13" s="12" t="s">
        <v>145</v>
      </c>
      <c r="G13" s="13">
        <v>30000</v>
      </c>
      <c r="H13" s="13">
        <v>32400</v>
      </c>
    </row>
    <row r="14" spans="1:8">
      <c r="A14" s="5" t="s">
        <v>155</v>
      </c>
      <c r="B14" s="5" t="s">
        <v>142</v>
      </c>
      <c r="C14" s="3">
        <v>1</v>
      </c>
      <c r="D14" s="11">
        <f t="shared" si="0"/>
        <v>100000</v>
      </c>
      <c r="F14" s="12" t="s">
        <v>146</v>
      </c>
      <c r="G14" s="13">
        <v>10000</v>
      </c>
      <c r="H14" s="13">
        <v>9700</v>
      </c>
    </row>
    <row r="15" spans="1:8">
      <c r="A15" s="5" t="s">
        <v>165</v>
      </c>
      <c r="B15" s="5" t="s">
        <v>147</v>
      </c>
      <c r="C15" s="3">
        <v>1</v>
      </c>
      <c r="D15" s="11">
        <f t="shared" si="0"/>
        <v>35000</v>
      </c>
      <c r="F15" s="12" t="s">
        <v>147</v>
      </c>
      <c r="G15" s="13">
        <v>35000</v>
      </c>
      <c r="H15" s="13">
        <v>38150</v>
      </c>
    </row>
    <row r="16" spans="1:8">
      <c r="A16" s="3" t="s">
        <v>173</v>
      </c>
      <c r="B16" s="5" t="s">
        <v>142</v>
      </c>
      <c r="C16" s="3">
        <v>2</v>
      </c>
      <c r="D16" s="11">
        <f t="shared" si="0"/>
        <v>110000</v>
      </c>
      <c r="F16" s="12" t="s">
        <v>148</v>
      </c>
      <c r="G16" s="13">
        <v>35000</v>
      </c>
      <c r="H16" s="13">
        <v>31850</v>
      </c>
    </row>
    <row r="17" spans="1:4">
      <c r="A17" s="5" t="s">
        <v>159</v>
      </c>
      <c r="B17" s="5" t="s">
        <v>148</v>
      </c>
      <c r="C17" s="3">
        <v>1</v>
      </c>
      <c r="D17" s="11">
        <f t="shared" si="0"/>
        <v>35000</v>
      </c>
    </row>
    <row r="18" spans="1:4">
      <c r="A18" s="5" t="s">
        <v>163</v>
      </c>
      <c r="B18" s="5" t="s">
        <v>144</v>
      </c>
      <c r="C18" s="3">
        <v>1</v>
      </c>
      <c r="D18" s="11">
        <f t="shared" si="0"/>
        <v>50000</v>
      </c>
    </row>
    <row r="19" spans="1:4">
      <c r="A19" s="5" t="s">
        <v>152</v>
      </c>
      <c r="B19" s="5" t="s">
        <v>144</v>
      </c>
      <c r="C19" s="3">
        <v>1</v>
      </c>
      <c r="D19" s="11">
        <f t="shared" si="0"/>
        <v>50000</v>
      </c>
    </row>
    <row r="20" spans="1:4">
      <c r="A20" s="5" t="s">
        <v>161</v>
      </c>
      <c r="B20" s="5" t="s">
        <v>146</v>
      </c>
      <c r="C20" s="3">
        <v>1</v>
      </c>
      <c r="D20" s="11">
        <f t="shared" si="0"/>
        <v>10000</v>
      </c>
    </row>
    <row r="21" spans="1:4">
      <c r="A21" s="5" t="s">
        <v>174</v>
      </c>
      <c r="B21" s="5" t="s">
        <v>147</v>
      </c>
      <c r="C21" s="3">
        <v>2</v>
      </c>
      <c r="D21" s="11">
        <f t="shared" si="0"/>
        <v>38150</v>
      </c>
    </row>
    <row r="22" spans="1:4">
      <c r="A22" s="5" t="s">
        <v>175</v>
      </c>
      <c r="B22" s="5" t="s">
        <v>146</v>
      </c>
      <c r="C22" s="3">
        <v>2</v>
      </c>
      <c r="D22" s="11">
        <f t="shared" si="0"/>
        <v>9700</v>
      </c>
    </row>
    <row r="23" spans="1:4">
      <c r="A23" s="5" t="s">
        <v>176</v>
      </c>
      <c r="B23" s="5" t="s">
        <v>146</v>
      </c>
      <c r="C23" s="3">
        <v>2</v>
      </c>
      <c r="D23" s="11">
        <f t="shared" si="0"/>
        <v>9700</v>
      </c>
    </row>
    <row r="24" spans="1:4">
      <c r="A24" s="3" t="s">
        <v>177</v>
      </c>
      <c r="B24" s="5" t="s">
        <v>143</v>
      </c>
      <c r="C24" s="3">
        <v>2</v>
      </c>
      <c r="D24" s="11">
        <f t="shared" si="0"/>
        <v>80000</v>
      </c>
    </row>
    <row r="25" spans="1:4">
      <c r="A25" s="5" t="s">
        <v>178</v>
      </c>
      <c r="B25" s="5" t="s">
        <v>144</v>
      </c>
      <c r="C25" s="3">
        <v>2</v>
      </c>
      <c r="D25" s="11">
        <f t="shared" si="0"/>
        <v>53000</v>
      </c>
    </row>
    <row r="26" spans="1:4">
      <c r="A26" s="5" t="s">
        <v>166</v>
      </c>
      <c r="B26" s="5" t="s">
        <v>144</v>
      </c>
      <c r="C26" s="3">
        <v>1</v>
      </c>
      <c r="D26" s="11">
        <f t="shared" si="0"/>
        <v>50000</v>
      </c>
    </row>
    <row r="27" spans="1:4">
      <c r="A27" s="3" t="s">
        <v>179</v>
      </c>
      <c r="B27" s="5" t="s">
        <v>143</v>
      </c>
      <c r="C27" s="3">
        <v>2</v>
      </c>
      <c r="D27" s="11">
        <f t="shared" si="0"/>
        <v>80000</v>
      </c>
    </row>
    <row r="28" spans="1:4">
      <c r="A28" s="5" t="s">
        <v>164</v>
      </c>
      <c r="B28" s="5" t="s">
        <v>144</v>
      </c>
      <c r="C28" s="3">
        <v>1</v>
      </c>
      <c r="D28" s="11">
        <f t="shared" si="0"/>
        <v>50000</v>
      </c>
    </row>
    <row r="29" spans="1:4">
      <c r="A29" s="3" t="s">
        <v>180</v>
      </c>
      <c r="B29" s="5" t="s">
        <v>144</v>
      </c>
      <c r="C29" s="3">
        <v>2</v>
      </c>
      <c r="D29" s="11">
        <f t="shared" si="0"/>
        <v>53000</v>
      </c>
    </row>
    <row r="30" spans="1:4">
      <c r="A30" s="3" t="s">
        <v>181</v>
      </c>
      <c r="B30" s="5" t="s">
        <v>148</v>
      </c>
      <c r="C30" s="3">
        <v>2</v>
      </c>
      <c r="D30" s="11">
        <f t="shared" si="0"/>
        <v>31850</v>
      </c>
    </row>
    <row r="31" spans="1:4">
      <c r="A31" s="5" t="s">
        <v>156</v>
      </c>
      <c r="B31" s="5" t="s">
        <v>143</v>
      </c>
      <c r="C31" s="3">
        <v>1</v>
      </c>
      <c r="D31" s="11">
        <f t="shared" si="0"/>
        <v>80000</v>
      </c>
    </row>
    <row r="32" spans="1:4">
      <c r="A32" s="5" t="s">
        <v>160</v>
      </c>
      <c r="B32" s="5" t="s">
        <v>145</v>
      </c>
      <c r="C32" s="3">
        <v>1</v>
      </c>
      <c r="D32" s="11">
        <f t="shared" si="0"/>
        <v>30000</v>
      </c>
    </row>
    <row r="33" spans="1:4">
      <c r="A33" s="5" t="s">
        <v>153</v>
      </c>
      <c r="B33" s="5" t="s">
        <v>144</v>
      </c>
      <c r="C33" s="3">
        <v>1</v>
      </c>
      <c r="D33" s="11">
        <f t="shared" si="0"/>
        <v>50000</v>
      </c>
    </row>
    <row r="34" spans="1:4">
      <c r="A34" s="5" t="s">
        <v>182</v>
      </c>
      <c r="B34" s="5" t="s">
        <v>145</v>
      </c>
      <c r="C34" s="3">
        <v>2</v>
      </c>
      <c r="D34" s="11">
        <f t="shared" si="0"/>
        <v>32400</v>
      </c>
    </row>
    <row r="35" spans="1:4">
      <c r="A35" s="5" t="s">
        <v>157</v>
      </c>
      <c r="B35" s="5" t="s">
        <v>146</v>
      </c>
      <c r="C35" s="3">
        <v>1</v>
      </c>
      <c r="D35" s="11">
        <f t="shared" si="0"/>
        <v>10000</v>
      </c>
    </row>
  </sheetData>
  <sortState ref="A10:D35">
    <sortCondition ref="D10"/>
  </sortState>
  <pageMargins left="0.7" right="0.7" top="0.75" bottom="0.75" header="0.3" footer="0.3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-0.249977111117893"/>
  </sheetPr>
  <dimension ref="A13:I33"/>
  <sheetViews>
    <sheetView tabSelected="1" workbookViewId="0">
      <selection activeCell="B20" sqref="B20"/>
    </sheetView>
  </sheetViews>
  <sheetFormatPr defaultColWidth="9" defaultRowHeight="14.25"/>
  <cols>
    <col min="1" max="1" width="38.394495412844" customWidth="1"/>
    <col min="2" max="2" width="35.1284403669725" customWidth="1"/>
    <col min="3" max="5" width="21.5963302752294" customWidth="1"/>
    <col min="6" max="6" width="26.1284403669725" customWidth="1"/>
    <col min="7" max="7" width="20" customWidth="1"/>
    <col min="8" max="8" width="21.8623853211009" customWidth="1"/>
    <col min="9" max="9" width="24.1284403669725" customWidth="1"/>
  </cols>
  <sheetData>
    <row r="13" spans="1:9">
      <c r="A13" s="1" t="s">
        <v>150</v>
      </c>
      <c r="B13" s="1" t="s">
        <v>183</v>
      </c>
      <c r="C13" s="1" t="s">
        <v>184</v>
      </c>
      <c r="D13" s="1" t="s">
        <v>185</v>
      </c>
      <c r="E13" s="1" t="s">
        <v>186</v>
      </c>
      <c r="F13" s="1" t="s">
        <v>187</v>
      </c>
      <c r="G13" s="1" t="s">
        <v>188</v>
      </c>
      <c r="H13" s="1" t="s">
        <v>189</v>
      </c>
      <c r="I13" s="1" t="s">
        <v>190</v>
      </c>
    </row>
    <row r="14" spans="1:9">
      <c r="A14" s="2" t="s">
        <v>191</v>
      </c>
      <c r="B14" s="2" t="s">
        <v>121</v>
      </c>
      <c r="C14" s="2" t="s">
        <v>192</v>
      </c>
      <c r="D14" s="2" t="s">
        <v>193</v>
      </c>
      <c r="E14" s="2" t="s">
        <v>194</v>
      </c>
      <c r="F14" s="2" t="s">
        <v>195</v>
      </c>
      <c r="G14" s="2" t="s">
        <v>196</v>
      </c>
      <c r="H14" s="2" t="s">
        <v>197</v>
      </c>
      <c r="I14" s="2" t="s">
        <v>198</v>
      </c>
    </row>
    <row r="15" spans="1:9">
      <c r="A15" s="2" t="s">
        <v>199</v>
      </c>
      <c r="B15" s="2" t="s">
        <v>122</v>
      </c>
      <c r="C15" s="2" t="s">
        <v>200</v>
      </c>
      <c r="D15" s="2" t="s">
        <v>201</v>
      </c>
      <c r="E15" s="2" t="s">
        <v>202</v>
      </c>
      <c r="F15" s="2" t="s">
        <v>203</v>
      </c>
      <c r="G15" s="2" t="s">
        <v>204</v>
      </c>
      <c r="H15" s="2" t="s">
        <v>205</v>
      </c>
      <c r="I15" s="2" t="s">
        <v>206</v>
      </c>
    </row>
    <row r="16" spans="1:9">
      <c r="A16" s="2" t="s">
        <v>207</v>
      </c>
      <c r="B16" s="2" t="s">
        <v>123</v>
      </c>
      <c r="C16" s="2" t="s">
        <v>208</v>
      </c>
      <c r="D16" s="2" t="s">
        <v>209</v>
      </c>
      <c r="E16" s="2" t="s">
        <v>210</v>
      </c>
      <c r="F16" s="2" t="s">
        <v>211</v>
      </c>
      <c r="G16" s="2" t="s">
        <v>212</v>
      </c>
      <c r="H16" s="2" t="s">
        <v>196</v>
      </c>
      <c r="I16" s="2" t="s">
        <v>213</v>
      </c>
    </row>
    <row r="17" spans="1:9">
      <c r="A17" s="3" t="s">
        <v>214</v>
      </c>
      <c r="B17" s="3" t="str">
        <f>TRIM(A17)</f>
        <v>Дорофеев Кондрат Альбертович</v>
      </c>
      <c r="C17" s="4" t="s">
        <v>215</v>
      </c>
      <c r="D17" s="5" t="s">
        <v>216</v>
      </c>
      <c r="E17" s="5" t="s">
        <v>217</v>
      </c>
      <c r="F17" s="3" t="str">
        <f>UPPER(C17)&amp;" "&amp;LOWER(D17)</f>
        <v>ДОРОФЕЕВ кондрат</v>
      </c>
      <c r="G17" s="3" t="str">
        <f>LEFT(D17,1)</f>
        <v>К</v>
      </c>
      <c r="H17" s="3" t="str">
        <f>LEFT(E17,1)</f>
        <v>А</v>
      </c>
      <c r="I17" s="5" t="str">
        <f>C17&amp;" "&amp;G17&amp;"."&amp;H17&amp;"."</f>
        <v>Дорофеев К.А.</v>
      </c>
    </row>
    <row r="18" spans="1:9">
      <c r="A18" s="3" t="s">
        <v>218</v>
      </c>
      <c r="B18" s="3" t="str">
        <f t="shared" ref="B18:B33" si="0">TRIM(A18)</f>
        <v>Ефимов Сергей Матвеевич</v>
      </c>
      <c r="C18" s="4" t="s">
        <v>219</v>
      </c>
      <c r="D18" s="5" t="s">
        <v>220</v>
      </c>
      <c r="E18" s="5" t="s">
        <v>221</v>
      </c>
      <c r="F18" s="3" t="str">
        <f t="shared" ref="F18:F33" si="1">UPPER(C18)&amp;" "&amp;LOWER(D18)</f>
        <v>ЕФИМОВ сергей</v>
      </c>
      <c r="G18" s="3" t="str">
        <f t="shared" ref="G18:G33" si="2">LEFT(D18,1)</f>
        <v>С</v>
      </c>
      <c r="H18" s="3" t="str">
        <f t="shared" ref="H18:H33" si="3">LEFT(E18,1)</f>
        <v>М</v>
      </c>
      <c r="I18" s="5" t="str">
        <f t="shared" ref="I18:I33" si="4">C18&amp;" "&amp;G18&amp;"."&amp;H18&amp;"."</f>
        <v>Ефимов С.М.</v>
      </c>
    </row>
    <row r="19" spans="1:9">
      <c r="A19" s="3" t="s">
        <v>222</v>
      </c>
      <c r="B19" s="3" t="str">
        <f t="shared" si="0"/>
        <v>Воробьёва Ольга Агафоновна</v>
      </c>
      <c r="C19" s="4" t="s">
        <v>223</v>
      </c>
      <c r="D19" s="5" t="s">
        <v>224</v>
      </c>
      <c r="E19" s="5" t="s">
        <v>225</v>
      </c>
      <c r="F19" s="3" t="str">
        <f t="shared" si="1"/>
        <v>ВОРОБЬЁВА ольга</v>
      </c>
      <c r="G19" s="3" t="str">
        <f t="shared" si="2"/>
        <v>О</v>
      </c>
      <c r="H19" s="3" t="str">
        <f t="shared" si="3"/>
        <v>А</v>
      </c>
      <c r="I19" s="5" t="str">
        <f t="shared" si="4"/>
        <v>Воробьёва О.А.</v>
      </c>
    </row>
    <row r="20" spans="1:9">
      <c r="A20" s="3" t="s">
        <v>226</v>
      </c>
      <c r="B20" s="3" t="str">
        <f t="shared" si="0"/>
        <v>Брагин Эдуард Викторович</v>
      </c>
      <c r="C20" s="4" t="s">
        <v>227</v>
      </c>
      <c r="D20" s="5" t="s">
        <v>228</v>
      </c>
      <c r="E20" s="5" t="s">
        <v>229</v>
      </c>
      <c r="F20" s="3" t="str">
        <f t="shared" si="1"/>
        <v>БРАГИН эдуард</v>
      </c>
      <c r="G20" s="3" t="str">
        <f t="shared" si="2"/>
        <v>Э</v>
      </c>
      <c r="H20" s="3" t="str">
        <f t="shared" si="3"/>
        <v>В</v>
      </c>
      <c r="I20" s="5" t="str">
        <f t="shared" si="4"/>
        <v>Брагин Э.В.</v>
      </c>
    </row>
    <row r="21" spans="1:9">
      <c r="A21" s="3" t="s">
        <v>230</v>
      </c>
      <c r="B21" s="3" t="str">
        <f t="shared" si="0"/>
        <v>Никифорова Галина Лаврентьевна</v>
      </c>
      <c r="C21" s="4" t="s">
        <v>231</v>
      </c>
      <c r="D21" s="5" t="s">
        <v>232</v>
      </c>
      <c r="E21" s="5" t="s">
        <v>233</v>
      </c>
      <c r="F21" s="3" t="str">
        <f t="shared" si="1"/>
        <v>НИКИФОРОВА галина</v>
      </c>
      <c r="G21" s="3" t="str">
        <f t="shared" si="2"/>
        <v>Г</v>
      </c>
      <c r="H21" s="3" t="str">
        <f t="shared" si="3"/>
        <v>Л</v>
      </c>
      <c r="I21" s="5" t="str">
        <f t="shared" si="4"/>
        <v>Никифорова Г.Л.</v>
      </c>
    </row>
    <row r="22" spans="1:9">
      <c r="A22" s="3" t="s">
        <v>234</v>
      </c>
      <c r="B22" s="3" t="str">
        <f t="shared" si="0"/>
        <v>Елисеев Борис Мартынович</v>
      </c>
      <c r="C22" s="4" t="s">
        <v>235</v>
      </c>
      <c r="D22" s="5" t="s">
        <v>236</v>
      </c>
      <c r="E22" s="5" t="s">
        <v>237</v>
      </c>
      <c r="F22" s="3" t="str">
        <f t="shared" si="1"/>
        <v>ЕЛИСЕЕВ борис</v>
      </c>
      <c r="G22" s="3" t="str">
        <f t="shared" si="2"/>
        <v>Б</v>
      </c>
      <c r="H22" s="3" t="str">
        <f t="shared" si="3"/>
        <v>М</v>
      </c>
      <c r="I22" s="5" t="str">
        <f t="shared" si="4"/>
        <v>Елисеев Б.М.</v>
      </c>
    </row>
    <row r="23" spans="1:9">
      <c r="A23" s="3" t="s">
        <v>238</v>
      </c>
      <c r="B23" s="3" t="str">
        <f t="shared" si="0"/>
        <v>Блинов Даниил Демьянович</v>
      </c>
      <c r="C23" s="4" t="s">
        <v>239</v>
      </c>
      <c r="D23" s="5" t="s">
        <v>240</v>
      </c>
      <c r="E23" s="5" t="s">
        <v>241</v>
      </c>
      <c r="F23" s="3" t="str">
        <f t="shared" si="1"/>
        <v>БЛИНОВ даниил</v>
      </c>
      <c r="G23" s="3" t="str">
        <f t="shared" si="2"/>
        <v>Д</v>
      </c>
      <c r="H23" s="3" t="str">
        <f t="shared" si="3"/>
        <v>Д</v>
      </c>
      <c r="I23" s="5" t="str">
        <f t="shared" si="4"/>
        <v>Блинов Д.Д.</v>
      </c>
    </row>
    <row r="24" spans="1:9">
      <c r="A24" s="3" t="s">
        <v>242</v>
      </c>
      <c r="B24" s="3" t="str">
        <f t="shared" si="0"/>
        <v>Белов Станислав Егорович</v>
      </c>
      <c r="C24" s="4" t="s">
        <v>243</v>
      </c>
      <c r="D24" s="5" t="s">
        <v>244</v>
      </c>
      <c r="E24" s="5" t="s">
        <v>245</v>
      </c>
      <c r="F24" s="3" t="str">
        <f t="shared" si="1"/>
        <v>БЕЛОВ станислав</v>
      </c>
      <c r="G24" s="3" t="str">
        <f t="shared" si="2"/>
        <v>С</v>
      </c>
      <c r="H24" s="3" t="str">
        <f t="shared" si="3"/>
        <v>Е</v>
      </c>
      <c r="I24" s="5" t="str">
        <f t="shared" si="4"/>
        <v>Белов С.Е.</v>
      </c>
    </row>
    <row r="25" spans="1:9">
      <c r="A25" s="3" t="s">
        <v>246</v>
      </c>
      <c r="B25" s="3" t="str">
        <f t="shared" si="0"/>
        <v>Панфилов Ефим Михаилович</v>
      </c>
      <c r="C25" s="4" t="s">
        <v>247</v>
      </c>
      <c r="D25" s="5" t="s">
        <v>248</v>
      </c>
      <c r="E25" s="5" t="s">
        <v>249</v>
      </c>
      <c r="F25" s="3" t="str">
        <f t="shared" si="1"/>
        <v>ПАНФИЛОВ ефим</v>
      </c>
      <c r="G25" s="3" t="str">
        <f t="shared" si="2"/>
        <v>Е</v>
      </c>
      <c r="H25" s="3" t="str">
        <f t="shared" si="3"/>
        <v>М</v>
      </c>
      <c r="I25" s="5" t="str">
        <f t="shared" si="4"/>
        <v>Панфилов Е.М.</v>
      </c>
    </row>
    <row r="26" spans="1:9">
      <c r="A26" s="3" t="s">
        <v>250</v>
      </c>
      <c r="B26" s="3" t="str">
        <f t="shared" si="0"/>
        <v>Фролов Георгий Владимирович</v>
      </c>
      <c r="C26" s="4" t="s">
        <v>251</v>
      </c>
      <c r="D26" s="5" t="s">
        <v>252</v>
      </c>
      <c r="E26" s="5" t="s">
        <v>253</v>
      </c>
      <c r="F26" s="3" t="str">
        <f t="shared" si="1"/>
        <v>ФРОЛОВ георгий</v>
      </c>
      <c r="G26" s="3" t="str">
        <f t="shared" si="2"/>
        <v>Г</v>
      </c>
      <c r="H26" s="3" t="str">
        <f t="shared" si="3"/>
        <v>В</v>
      </c>
      <c r="I26" s="5" t="str">
        <f t="shared" si="4"/>
        <v>Фролов Г.В.</v>
      </c>
    </row>
    <row r="27" spans="1:9">
      <c r="A27" s="3" t="s">
        <v>254</v>
      </c>
      <c r="B27" s="3" t="str">
        <f t="shared" si="0"/>
        <v>Елисеева Элеонора Агафоновна</v>
      </c>
      <c r="C27" s="4" t="s">
        <v>255</v>
      </c>
      <c r="D27" s="5" t="s">
        <v>256</v>
      </c>
      <c r="E27" s="5" t="s">
        <v>225</v>
      </c>
      <c r="F27" s="3" t="str">
        <f t="shared" si="1"/>
        <v>ЕЛИСЕЕВА элеонора</v>
      </c>
      <c r="G27" s="3" t="str">
        <f t="shared" si="2"/>
        <v>Э</v>
      </c>
      <c r="H27" s="3" t="str">
        <f t="shared" si="3"/>
        <v>А</v>
      </c>
      <c r="I27" s="5" t="str">
        <f t="shared" si="4"/>
        <v>Елисеева Э.А.</v>
      </c>
    </row>
    <row r="28" spans="1:9">
      <c r="A28" s="3" t="s">
        <v>257</v>
      </c>
      <c r="B28" s="3" t="str">
        <f t="shared" si="0"/>
        <v>Пахомов Максим Андреевич</v>
      </c>
      <c r="C28" s="4" t="s">
        <v>258</v>
      </c>
      <c r="D28" s="5" t="s">
        <v>259</v>
      </c>
      <c r="E28" s="5" t="s">
        <v>260</v>
      </c>
      <c r="F28" s="3" t="str">
        <f t="shared" si="1"/>
        <v>ПАХОМОВ максим</v>
      </c>
      <c r="G28" s="3" t="str">
        <f t="shared" si="2"/>
        <v>М</v>
      </c>
      <c r="H28" s="3" t="str">
        <f t="shared" si="3"/>
        <v>А</v>
      </c>
      <c r="I28" s="5" t="str">
        <f t="shared" si="4"/>
        <v>Пахомов М.А.</v>
      </c>
    </row>
    <row r="29" spans="1:9">
      <c r="A29" s="3" t="s">
        <v>261</v>
      </c>
      <c r="B29" s="3" t="str">
        <f t="shared" si="0"/>
        <v>Коновалов Роман Викторович</v>
      </c>
      <c r="C29" s="4" t="s">
        <v>262</v>
      </c>
      <c r="D29" s="5" t="s">
        <v>263</v>
      </c>
      <c r="E29" s="5" t="s">
        <v>229</v>
      </c>
      <c r="F29" s="3" t="str">
        <f t="shared" si="1"/>
        <v>КОНОВАЛОВ роман</v>
      </c>
      <c r="G29" s="3" t="str">
        <f t="shared" si="2"/>
        <v>Р</v>
      </c>
      <c r="H29" s="3" t="str">
        <f t="shared" si="3"/>
        <v>В</v>
      </c>
      <c r="I29" s="5" t="str">
        <f t="shared" si="4"/>
        <v>Коновалов Р.В.</v>
      </c>
    </row>
    <row r="30" spans="1:9">
      <c r="A30" s="3" t="s">
        <v>264</v>
      </c>
      <c r="B30" s="3" t="str">
        <f t="shared" si="0"/>
        <v>Карпов Михаил Валерьевич</v>
      </c>
      <c r="C30" s="4" t="s">
        <v>265</v>
      </c>
      <c r="D30" s="5" t="s">
        <v>266</v>
      </c>
      <c r="E30" s="5" t="s">
        <v>267</v>
      </c>
      <c r="F30" s="3" t="str">
        <f t="shared" si="1"/>
        <v>КАРПОВ михаил</v>
      </c>
      <c r="G30" s="3" t="str">
        <f t="shared" si="2"/>
        <v>М</v>
      </c>
      <c r="H30" s="3" t="str">
        <f t="shared" si="3"/>
        <v>В</v>
      </c>
      <c r="I30" s="5" t="str">
        <f t="shared" si="4"/>
        <v>Карпов М.В.</v>
      </c>
    </row>
    <row r="31" spans="1:9">
      <c r="A31" s="3" t="s">
        <v>268</v>
      </c>
      <c r="B31" s="3" t="str">
        <f t="shared" si="0"/>
        <v>Емельянов Олег Иванович</v>
      </c>
      <c r="C31" s="4" t="s">
        <v>269</v>
      </c>
      <c r="D31" s="5" t="s">
        <v>270</v>
      </c>
      <c r="E31" s="5" t="s">
        <v>271</v>
      </c>
      <c r="F31" s="3" t="str">
        <f t="shared" si="1"/>
        <v>ЕМЕЛЬЯНОВ олег</v>
      </c>
      <c r="G31" s="3" t="str">
        <f t="shared" si="2"/>
        <v>О</v>
      </c>
      <c r="H31" s="3" t="str">
        <f t="shared" si="3"/>
        <v>И</v>
      </c>
      <c r="I31" s="5" t="str">
        <f t="shared" si="4"/>
        <v>Емельянов О.И.</v>
      </c>
    </row>
    <row r="32" spans="1:9">
      <c r="A32" s="3" t="s">
        <v>272</v>
      </c>
      <c r="B32" s="3" t="str">
        <f t="shared" si="0"/>
        <v>Николаева Ираида Геннадьевна</v>
      </c>
      <c r="C32" s="4" t="s">
        <v>273</v>
      </c>
      <c r="D32" s="5" t="s">
        <v>274</v>
      </c>
      <c r="E32" s="5" t="s">
        <v>275</v>
      </c>
      <c r="F32" s="3" t="str">
        <f t="shared" si="1"/>
        <v>НИКОЛАЕВА ираида</v>
      </c>
      <c r="G32" s="3" t="str">
        <f t="shared" si="2"/>
        <v>И</v>
      </c>
      <c r="H32" s="3" t="str">
        <f t="shared" si="3"/>
        <v>Г</v>
      </c>
      <c r="I32" s="5" t="str">
        <f t="shared" si="4"/>
        <v>Николаева И.Г.</v>
      </c>
    </row>
    <row r="33" spans="1:9">
      <c r="A33" s="3" t="s">
        <v>276</v>
      </c>
      <c r="B33" s="3" t="str">
        <f t="shared" si="0"/>
        <v>Мясников Владимир Иванович</v>
      </c>
      <c r="C33" s="4" t="s">
        <v>277</v>
      </c>
      <c r="D33" s="5" t="s">
        <v>278</v>
      </c>
      <c r="E33" s="5" t="s">
        <v>271</v>
      </c>
      <c r="F33" s="3" t="str">
        <f t="shared" si="1"/>
        <v>МЯСНИКОВ владимир</v>
      </c>
      <c r="G33" s="3" t="str">
        <f t="shared" si="2"/>
        <v>В</v>
      </c>
      <c r="H33" s="3" t="str">
        <f t="shared" si="3"/>
        <v>И</v>
      </c>
      <c r="I33" s="5" t="str">
        <f t="shared" si="4"/>
        <v>Мясников В.И.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Вводная</vt:lpstr>
      <vt:lpstr>ВПР</vt:lpstr>
      <vt:lpstr>ВПР интервальная</vt:lpstr>
      <vt:lpstr>ГПР</vt:lpstr>
      <vt:lpstr>Справка</vt:lpstr>
      <vt:lpstr>ЕСЛИ</vt:lpstr>
      <vt:lpstr>ВПР+ЕСЛИ</vt:lpstr>
      <vt:lpstr>Текстовые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kristy</dc:creator>
  <cp:lastModifiedBy>ddstl</cp:lastModifiedBy>
  <dcterms:created xsi:type="dcterms:W3CDTF">2015-11-02T23:33:00Z</dcterms:created>
  <dcterms:modified xsi:type="dcterms:W3CDTF">2026-10-17T10:12:19Z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B6D49470816243BF828D203F1FE9341A_13</vt:lpwstr>
  </property>
  <property fmtid="{D5CDD505-2E9C-101B-9397-08002B2CF9AE}" pid="3" name="KSOProductBuildVer">
    <vt:lpwstr>1049-12.1.0.29162</vt:lpwstr>
  </property>
  <property fmtid="{D5CDD505-2E9C-101B-9397-08002B2CF9AE}" pid="4" name="CalculationRule">
    <vt:i4>0</vt:i4>
  </property>
</Properties>
</file>